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043c8606f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9" r:id="R37fc478f8bba4ffd"/>
    <x:sheet xmlns:r="http://schemas.openxmlformats.org/officeDocument/2006/relationships" name="Cuadro 1" sheetId="25" r:id="Re1fcff8894ea4291"/>
    <x:sheet xmlns:r="http://schemas.openxmlformats.org/officeDocument/2006/relationships" name="Cuadro 2" sheetId="30" r:id="Rea57941bbc084589"/>
    <x:sheet xmlns:r="http://schemas.openxmlformats.org/officeDocument/2006/relationships" name="CJC Guía" sheetId="31" r:id="Ra424d03617c84142"/>
    <x:sheet xmlns:r="http://schemas.openxmlformats.org/officeDocument/2006/relationships" name="CJC VA total" sheetId="32" r:id="R7fc267a8023e436a"/>
    <x:sheet xmlns:r="http://schemas.openxmlformats.org/officeDocument/2006/relationships" name="CJC PTF actividad" sheetId="33" r:id="R236ac6c573a04ac9"/>
    <x:sheet xmlns:r="http://schemas.openxmlformats.org/officeDocument/2006/relationships" name="CJC Pesos VBP" sheetId="34" r:id="R373dd54aa8a542ab"/>
    <x:sheet xmlns:r="http://schemas.openxmlformats.org/officeDocument/2006/relationships" name="CJC Contribuciones" sheetId="35" r:id="R76122889fe724f3c"/>
    <x:sheet xmlns:r="http://schemas.openxmlformats.org/officeDocument/2006/relationships" name="CJC Figuras" sheetId="36" r:id="R8899288318204e87"/>
  </x:sheets>
</x:workbook>
</file>

<file path=xl/sharedStrings.xml><?xml version="1.0" encoding="utf-8"?>
<x:sst xmlns:x="http://schemas.openxmlformats.org/spreadsheetml/2006/main">
  <x:si>
    <x:t xml:space="preserve">PRODUCTIVIDAD TOTAL DE LOS FACTORES (PTF)</x:t>
  </x:si>
  <x:si>
    <x:t xml:space="preserve">Enfoque de Valor Agregado -  Base 2015</x:t>
  </x:si>
  <x:si>
    <x:t xml:space="preserve">1.</x:t>
  </x:si>
  <x:si>
    <x:t xml:space="preserve">Cuadro 1</x:t>
  </x:si>
  <x:si>
    <x:r>
      <x:t xml:space="preserve">Productividad Laboral por hora trabajada  2005 - 2025</x:t>
    </x:r>
    <x:r>
      <x:rPr>
        <x:sz val="11"/>
        <x:rFont val="Segoe UI"/>
        <x:family val="2"/>
      </x:rPr>
      <x:t xml:space="preserve">pr</x:t>
    </x:r>
  </x:si>
  <x:si>
    <x:t xml:space="preserve">2.</x:t>
  </x:si>
  <x:si>
    <x:t xml:space="preserve">Cuadro 2</x:t>
  </x:si>
  <x:si>
    <x:r>
      <x:t xml:space="preserve">Productividad Laboral por persona empleada  2005 - 2025</x:t>
    </x:r>
    <x:r>
      <x:rPr>
        <x:sz val="11"/>
        <x:rFont val="Segoe UI"/>
        <x:family val="2"/>
      </x:rPr>
      <x:t xml:space="preserve">pr</x:t>
    </x:r>
  </x:si>
  <x:si>
    <x:r>
      <x:rPr>
        <x:b/>
        <x:sz val="8"/>
        <x:rFont val="Segoe UI"/>
        <x:family val="2"/>
      </x:rPr>
      <x:t xml:space="preserve">pr</x:t>
    </x:r>
    <x:r>
      <x:rPr>
        <x:b/>
        <x:sz val="8"/>
        <x:rFont val="Segoe UI"/>
        <x:family val="2"/>
      </x:rPr>
      <x:t xml:space="preserve"> </x:t>
    </x:r>
    <x:r>
      <x:rPr>
        <x:sz val="8"/>
        <x:rFont val="Segoe UI"/>
        <x:family val="2"/>
      </x:rPr>
      <x:t xml:space="preserve">preliminar</x:t>
    </x:r>
  </x:si>
  <x:si>
    <x:t xml:space="preserve">Índice</x:t>
  </x:si>
  <x:si>
    <x:t xml:space="preserve">Productividad Total de los Factores (PTF)</x:t>
  </x:si>
  <x:si>
    <x:t xml:space="preserve">Tasas de crecimiento anual en volumen</x:t>
  </x:si>
  <x:si>
    <x:t xml:space="preserve">Productividad Laboral por hora trabajada - enfoque de Valor Agregado</x:t>
  </x:si>
  <x:si>
    <x:t xml:space="preserve">Base 2015</x:t>
  </x:si>
  <x:si>
    <x:r>
      <x:t xml:space="preserve">2005-2025</x:t>
    </x:r>
    <x:r>
      <x:rPr>
        <x:b/>
        <x:sz val="9"/>
        <x:rFont val="Segoe UI"/>
        <x:family val="2"/>
      </x:rPr>
      <x:t xml:space="preserve">pr</x:t>
    </x:r>
  </x:si>
  <x:si>
    <x:t xml:space="preserve">Año</x:t>
  </x:si>
  <x:si>
    <x:t xml:space="preserve">Productividad Laboral por hora trabajada</x:t>
  </x:si>
  <x:si>
    <x:t xml:space="preserve">Productividad Total de los Factores</x:t>
  </x:si>
  <x:si>
    <x:t xml:space="preserve">Composición laboral</x:t>
  </x:si>
  <x:si>
    <x:t xml:space="preserve">Contribución del capital por hora trabajada</x:t>
  </x:si>
  <x:si>
    <x:t xml:space="preserve">Tasa de crecimiento (%)</x:t>
  </x:si>
  <x:si>
    <x:t xml:space="preserve">Aporte a la  Productividad Laboral por hora trabajada (pp)</x:t>
  </x:si>
  <x:si>
    <x:r>
      <x:t xml:space="preserve">2024</x:t>
    </x:r>
    <x:r>
      <x:rPr>
        <x:b/>
        <x:sz val="10"/>
        <x:color rgb="FF000000"/>
        <x:rFont val="Segoe UI"/>
        <x:family val="2"/>
      </x:rPr>
      <x:t xml:space="preserve">p</x:t>
    </x:r>
  </x:si>
  <x:si>
    <x:r>
      <x:t xml:space="preserve">2025</x:t>
    </x:r>
    <x:r>
      <x:rPr>
        <x:b/>
        <x:sz val="10"/>
        <x:color rgb="FF000000"/>
        <x:rFont val="Segoe UI"/>
        <x:family val="2"/>
      </x:rPr>
      <x:t xml:space="preserve">pr</x:t>
    </x:r>
  </x:si>
  <x:si>
    <x:r>
      <x:t xml:space="preserve">Fuente : </x:t>
    </x:r>
    <x:r>
      <x:rPr>
        <x:sz val="9"/>
        <x:color indexed="8"/>
        <x:rFont val="Segoe UI"/>
        <x:family val="2"/>
      </x:rPr>
      <x:t xml:space="preserve">DANE, Cuentas nacionales</x:t>
    </x:r>
  </x:si>
  <x:si>
    <x:r>
      <x:rPr>
        <x:sz val="9"/>
        <x:color rgb="FF000000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tasas de variación son logarítmicas, la agregación del total de la economía se pondera a través de la composición del valor agregado por actividad económica.</x:t>
    </x:r>
  </x:si>
  <x:si>
    <x:r>
      <x:rPr>
        <x:sz val="9"/>
        <x:rFont val="Segoe UI"/>
        <x:family val="2"/>
      </x:rPr>
      <x:t xml:space="preserve">p</x:t>
    </x:r>
    <x:r>
      <x:rPr>
        <x:sz val="9"/>
        <x:rFont val="Segoe UI"/>
        <x:family val="2"/>
      </x:rPr>
      <x:t xml:space="preserve"> provisional</x:t>
    </x:r>
  </x:si>
  <x:si>
    <x:r>
      <x:rPr>
        <x:sz val="9"/>
        <x:rFont val="Segoe UI"/>
        <x:family val="2"/>
      </x:rPr>
      <x:t xml:space="preserve">pr</x:t>
    </x:r>
    <x:r>
      <x:rPr>
        <x:sz val="9"/>
        <x:rFont val="Segoe UI"/>
        <x:family val="2"/>
      </x:rPr>
      <x:t xml:space="preserve"> preliminar</x:t>
    </x:r>
  </x:si>
  <x:si>
    <x:r>
      <x:rPr>
        <x:sz val="9"/>
        <x:rFont val="Segoe UI"/>
        <x:family val="2"/>
      </x:rPr>
      <x:t xml:space="preserve">pp</x:t>
    </x:r>
    <x:r>
      <x:rPr>
        <x:sz val="9"/>
        <x:rFont val="Segoe UI"/>
        <x:family val="2"/>
      </x:rPr>
      <x:t xml:space="preserve"> puntos porcentuales</x:t>
    </x:r>
  </x:si>
  <x:si>
    <x:r>
      <x:t xml:space="preserve">Fecha de actualización: </x:t>
    </x:r>
    <x:r>
      <x:rPr>
        <x:sz val="9"/>
        <x:rFont val="Segoe UI"/>
        <x:family val="2"/>
      </x:rPr>
      <x:t xml:space="preserve">31 de marzo de 2026</x:t>
    </x:r>
  </x:si>
  <x:si>
    <x:t xml:space="preserve">Productividad Laboral por persona empleada - enfoque de Valor Agregado</x:t>
  </x:si>
  <x:si>
    <x:t xml:space="preserve">Productividad Laboral por persona empleada</x:t>
  </x:si>
  <x:si>
    <x:t xml:space="preserve">Contribución de las horas trabajadas por empleado</x:t>
  </x:si>
  <x:si>
    <x:t xml:space="preserve">Contribución del capital por persona empleada</x:t>
  </x:si>
  <x:si>
    <x:t xml:space="preserve">Aporte a la Productividad Laboral por persona empleada (pp)</x:t>
  </x:si>
  <x:si>
    <x:r>
      <x:rPr>
        <x:sz val="9"/>
        <x:color rgb="FF000000"/>
        <x:rFont val="Segoe UI"/>
        <x:family val="2"/>
      </x:rPr>
      <x:t xml:space="preserve">pp</x:t>
    </x:r>
    <x:r>
      <x:rPr>
        <x:sz val="9"/>
        <x:color rgb="FF000000"/>
        <x:rFont val="Segoe UI"/>
        <x:family val="2"/>
      </x:rPr>
      <x:t xml:space="preserve"> puntos porcentuales</x:t>
    </x:r>
  </x:si>
</x:sst>
</file>

<file path=xl/styles.xml><?xml version="1.0" encoding="utf-8"?>
<x:styleSheet xmlns:x="http://schemas.openxmlformats.org/spreadsheetml/2006/main">
  <x:numFmts count="9">
    <x:numFmt numFmtId="164" formatCode="_(* #,##0.00_);_(* \(#,##0.00\);_(* &quot;-&quot;??_);_(@_)"/>
    <x:numFmt numFmtId="165" formatCode="#,##0.0"/>
    <x:numFmt numFmtId="166" formatCode="_(* #,##0.0_);_(* \(#,##0.0\);_(* &quot;-&quot;??_);_(@_)"/>
    <x:numFmt numFmtId="200" formatCode="0.00"/>
    <x:numFmt numFmtId="201" formatCode="0.00%"/>
    <x:numFmt numFmtId="202" formatCode="0"/>
    <x:numFmt numFmtId="203" formatCode="#,##0"/>
    <x:numFmt numFmtId="204" formatCode="0.00000"/>
    <x:numFmt numFmtId="205" formatCode="0.0000000"/>
  </x:numFmts>
  <x:fonts count="51">
    <x:font>
      <x:sz val="11"/>
      <x:color theme="1"/>
      <x:name val="Calibri"/>
    </x:font>
    <x:font>
      <x:sz val="11"/>
      <x:color theme="1"/>
      <x:name val="Calibri"/>
    </x:font>
    <x:font>
      <x:sz val="9"/>
      <x:color rgb="FF002288"/>
      <x:name val="Segoe UI"/>
    </x:font>
    <x:font>
      <x:b/>
      <x:sz val="16"/>
      <x:name val="Segoe UI"/>
    </x:font>
    <x:font>
      <x:b/>
      <x:sz val="20"/>
      <x:name val="Segoe UI"/>
    </x:font>
    <x:font>
      <x:b/>
      <x:sz val="11"/>
      <x:color rgb="FF000000"/>
      <x:name val="Segoe UI"/>
    </x:font>
    <x:font>
      <x:sz val="10"/>
      <x:name val="Times New Roman"/>
    </x:font>
    <x:font>
      <x:b/>
      <x:sz val="9"/>
      <x:color rgb="FF000000"/>
      <x:name val="Segoe UI"/>
    </x:font>
    <x:font>
      <x:sz val="9"/>
      <x:color rgb="FF000000"/>
      <x:name val="Segoe UI"/>
    </x:font>
    <x:font>
      <x:sz val="9"/>
      <x:color indexed="8"/>
      <x:name val="Segoe UI"/>
    </x:font>
    <x:font>
      <x:b/>
      <x:sz val="9"/>
      <x:color indexed="8"/>
      <x:name val="Segoe UI"/>
    </x:font>
    <x:font>
      <x:b/>
      <x:sz val="9"/>
      <x:color indexed="8"/>
      <x:name val="Segoe UI"/>
    </x:font>
    <x:font>
      <x:sz val="9"/>
      <x:color indexed="8"/>
      <x:name val="Segoe UI"/>
    </x:font>
    <x:font>
      <x:b/>
      <x:sz val="9"/>
      <x:name val="Segoe UI"/>
    </x:font>
    <x:font>
      <x:sz val="9"/>
      <x:color rgb="FF000000"/>
      <x:name val="Segoe UI"/>
    </x:font>
    <x:font>
      <x:sz val="10"/>
      <x:name val="Arial"/>
    </x:font>
    <x:font>
      <x:sz val="10"/>
      <x:color theme="4" tint="-0.24998"/>
      <x:name val="Segoe UI"/>
    </x:font>
    <x:font>
      <x:sz val="10"/>
      <x:name val="Segoe UI"/>
    </x:font>
    <x:font>
      <x:b/>
      <x:sz val="12"/>
      <x:name val="Segoe UI"/>
    </x:font>
    <x:font>
      <x:b/>
      <x:sz val="11"/>
      <x:color rgb="FFB6004B"/>
      <x:name val="Segoe UI"/>
    </x:font>
    <x:font>
      <x:sz val="10"/>
      <x:color indexed="12"/>
      <x:name val="Arial"/>
    </x:font>
    <x:font>
      <x:sz val="11"/>
      <x:name val="Segoe UI"/>
    </x:font>
    <x:font>
      <x:sz val="11"/>
      <x:color theme="10"/>
      <x:name val="Calibri"/>
    </x:font>
    <x:font>
      <x:sz val="11"/>
      <x:color theme="10"/>
      <x:name val="Segoe UI"/>
    </x:font>
    <x:font>
      <x:b/>
      <x:sz val="10"/>
      <x:color rgb="FF000000"/>
      <x:name val="Segoe UI"/>
    </x:font>
    <x:font>
      <x:sz val="10"/>
      <x:color rgb="FF000000"/>
      <x:name val="Segoe UI"/>
    </x:font>
    <x:font>
      <x:sz val="11"/>
      <x:name val="Calibri"/>
    </x:font>
    <x:font>
      <x:sz val="8"/>
      <x:name val="Calibri"/>
    </x:font>
    <x:font>
      <x:b/>
      <x:sz val="10"/>
      <x:color rgb="FF000000"/>
      <x:name val="Segoe UI"/>
    </x:font>
    <x:font>
      <x:sz val="9"/>
      <x:name val="Segoe UI"/>
    </x:font>
    <x:font>
      <x:sz val="11"/>
      <x:name val="Segoe UI"/>
    </x:font>
    <x:font>
      <x:sz val="9"/>
      <x:name val="Segoe UI"/>
    </x:font>
    <x:font>
      <x:b/>
      <x:sz val="20"/>
      <x:color theme="0"/>
      <x:name val="Segoe UI"/>
    </x:font>
    <x:font>
      <x:b/>
      <x:sz val="8"/>
      <x:name val="Segoe UI"/>
    </x:font>
    <x:font>
      <x:b/>
      <x:sz val="8"/>
      <x:name val="Segoe UI"/>
    </x:font>
    <x:font>
      <x:sz val="8"/>
      <x:name val="Segoe UI"/>
    </x:font>
    <x:font>
      <x:b/>
      <x:sz val="9"/>
      <x:name val="Segoe UI"/>
    </x:font>
    <x:font>
      <x:b/>
      <x:sz val="14"/>
      <x:color theme="0"/>
      <x:name val="Segoe UI"/>
    </x:font>
    <x:font>
      <x:b/>
      <x:sz val="16"/>
      <x:color rgb="FFFFFFFF"/>
      <x:name val="Aptos"/>
    </x:font>
    <x:font>
      <x:i/>
      <x:sz val="10"/>
      <x:color rgb="FF1F2937"/>
      <x:name val="Aptos"/>
    </x:font>
    <x:font>
      <x:b/>
      <x:sz val="9"/>
      <x:color rgb="FFFFFFFF"/>
      <x:name val="Aptos"/>
    </x:font>
    <x:font>
      <x:sz val="11"/>
      <x:color theme="1"/>
      <x:name val="Aptos"/>
    </x:font>
    <x:font>
      <x:sz val="9"/>
      <x:color theme="1"/>
      <x:name val="Aptos"/>
    </x:font>
    <x:font>
      <x:sz val="9"/>
      <x:color rgb="FF1F2937"/>
      <x:name val="Aptos"/>
    </x:font>
    <x:font>
      <x:b/>
      <x:sz val="9"/>
      <x:color rgb="FF1F2937"/>
      <x:name val="Aptos"/>
    </x:font>
    <x:font>
      <x:sz val="9"/>
      <x:color rgb="FF1F4E78"/>
      <x:name val="Aptos"/>
    </x:font>
    <x:font>
      <x:sz val="9"/>
      <x:color rgb="FF375623"/>
      <x:name val="Aptos"/>
    </x:font>
    <x:font>
      <x:sz val="11"/>
      <x:color rgb="FF1F4E78"/>
      <x:name val="Calibri"/>
    </x:font>
    <x:font>
      <x:sz val="11"/>
      <x:color rgb="FF1F4E78"/>
      <x:name val="Aptos"/>
    </x:font>
    <x:font>
      <x:sz val="9"/>
      <x:color rgb="FFFFFFFF"/>
      <x:name val="Aptos"/>
    </x:font>
    <x:font>
      <x:b/>
      <x:sz val="9"/>
      <x:color rgb="FF375623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B6004B"/>
      </x:patternFill>
    </x:fill>
    <x:fill>
      <x:patternFill patternType="solid">
        <x:fgColor rgb="FFDBDBDB"/>
      </x:patternFill>
    </x:fill>
    <x:fill>
      <x:patternFill patternType="solid">
        <x:fgColor theme="0" tint="-0.15"/>
      </x:patternFill>
    </x:fill>
    <x:fill>
      <x:patternFill patternType="solid">
        <x:fgColor theme="0" tint="-0.04999"/>
      </x:patternFill>
    </x:fill>
    <x:fill>
      <x:patternFill patternType="solid">
        <x:fgColor rgb="FFC00055"/>
      </x:patternFill>
    </x:fill>
    <x:fill>
      <x:patternFill patternType="solid">
        <x:fgColor rgb="FFF3F4F6"/>
      </x:patternFill>
    </x:fill>
    <x:fill>
      <x:patternFill patternType="solid">
        <x:fgColor rgb="FF4B5563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C00055"/>
      </x:patternFill>
    </x:fill>
  </x:fills>
  <x:borders count="38">
    <x:border/>
    <x:border>
      <x:left style="thin">
        <x:color auto="1"/>
      </x:left>
    </x:border>
    <x:border>
      <x:right style="thin">
        <x:color auto="1"/>
      </x:righ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top style="thin">
        <x:color indexed="9"/>
      </x:top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top style="thin">
        <x:color rgb="FF000000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indexed="9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auto="1"/>
      </x:bottom>
    </x:border>
    <x:border>
      <x:left style="thin">
        <x:color auto="1"/>
      </x:left>
      <x:top style="thin">
        <x:color indexed="9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indexed="9"/>
      </x:left>
      <x:top style="thin">
        <x:color indexed="9"/>
      </x:top>
    </x:border>
    <x:border>
      <x:top style="thin">
        <x:color indexed="64"/>
      </x:top>
    </x:border>
    <x:border>
      <x:right style="thin">
        <x:color indexed="64"/>
      </x:right>
      <x:top style="thin">
        <x:color auto="1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right style="thin">
        <x:color auto="1"/>
      </x:right>
      <x:top style="thin">
        <x:color indexed="9"/>
      </x:top>
    </x:border>
    <x:border>
      <x:left style="thin">
        <x:color indexed="64"/>
      </x:left>
      <x:top style="thin">
        <x:color indexed="64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left style="thin">
        <x:color auto="1"/>
      </x:left>
      <x:top style="thin">
        <x:color indexed="9"/>
      </x:top>
    </x:border>
    <x:border>
      <x:top style="thin">
        <x:color indexed="64"/>
      </x:top>
      <x:bottom style="thin">
        <x:color rgb="FF000000"/>
      </x:bottom>
    </x:border>
    <x:border>
      <x:right style="thin">
        <x:color rgb="FF000000"/>
      </x:right>
      <x:top style="thin">
        <x:color indexed="64"/>
      </x:top>
      <x:bottom style="thin">
        <x:color rgb="FF00000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</x:borders>
  <x:cellStyleXfs count="7">
    <x:xf numFmtId="0" fontId="0" fillId="0" borderId="0"/>
    <x:xf numFmtId="164" fontId="1" fillId="0" borderId="0" applyFont="0" applyFill="0" applyBorder="0" applyAlignment="0" applyProtection="0"/>
    <x:xf numFmtId="0" fontId="6" fillId="0" borderId="0"/>
    <x:xf numFmtId="0" fontId="15" fillId="0" borderId="0"/>
    <x:xf numFmtId="0" fontId="20" fillId="0" borderId="0" applyNumberFormat="0" applyFill="0" applyBorder="0" applyAlignment="0" applyProtection="0">
      <x:alignment vertical="top"/>
      <x:protection locked="0"/>
    </x:xf>
    <x:xf numFmtId="0" fontId="22" fillId="0" borderId="0" applyNumberFormat="0" applyFill="0" applyBorder="0" applyAlignment="0" applyProtection="0"/>
    <x:xf numFmtId="0" fontId="26" fillId="0" borderId="0"/>
  </x:cellStyleXfs>
  <x:cellXfs count="222">
    <x:xf numFmtId="0" fontId="0" fillId="0" borderId="0" xfId="0"/>
    <x:xf numFmtId="0" fontId="2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 wrapText="1"/>
    </x:xf>
    <x:xf numFmtId="0" fontId="5" fillId="2" borderId="0" xfId="0" applyFont="1" applyFill="1" applyAlignment="1">
      <x:alignment horizontal="left" vertical="center"/>
    </x:xf>
    <x:xf numFmtId="0" fontId="7" fillId="2" borderId="0" xfId="0" applyFont="1" applyFill="1" applyAlignment="1">
      <x:alignment horizontal="left" vertical="center" wrapText="1"/>
    </x:xf>
    <x:xf numFmtId="3" fontId="8" fillId="2" borderId="0" xfId="0" applyNumberFormat="1" applyFont="1" applyFill="1" applyAlignment="1">
      <x:alignment horizontal="left" vertical="center" wrapText="1"/>
    </x:xf>
    <x:xf numFmtId="165" fontId="8" fillId="2" borderId="0" xfId="0" applyNumberFormat="1" applyFont="1" applyFill="1" applyAlignment="1">
      <x:alignment horizontal="center" vertical="center" wrapText="1"/>
    </x:xf>
    <x:xf numFmtId="3" fontId="8" fillId="2" borderId="0" xfId="0" applyNumberFormat="1" applyFont="1" applyFill="1" applyAlignment="1">
      <x:alignment horizontal="center" vertical="center" wrapText="1"/>
    </x:xf>
    <x:xf numFmtId="0" fontId="0" fillId="2" borderId="0" xfId="0" applyFill="1"/>
    <x:xf numFmtId="166" fontId="2" fillId="2" borderId="0" xfId="1" applyNumberFormat="1" applyFont="1" applyFill="1" applyAlignment="1">
      <x:alignment horizontal="center" vertical="center"/>
    </x:xf>
    <x:xf numFmtId="0" fontId="9" fillId="2" borderId="0" xfId="0" applyFont="1" applyFill="1" applyAlignment="1">
      <x:alignment vertical="center"/>
    </x:xf>
    <x:xf numFmtId="0" fontId="9" fillId="2" borderId="0" xfId="0" applyFont="1" applyFill="1" applyAlignment="1">
      <x:alignment horizontal="center" vertical="center"/>
    </x:xf>
    <x:xf numFmtId="0" fontId="10" fillId="2" borderId="0" xfId="0" applyFont="1" applyFill="1" applyAlignment="1">
      <x:alignment horizontal="center" vertical="center"/>
    </x:xf>
    <x:xf numFmtId="0" fontId="10" fillId="2" borderId="2" xfId="0" applyFont="1" applyFill="1" applyBorder="1" applyAlignment="1">
      <x:alignment horizontal="center" vertical="center"/>
    </x:xf>
    <x:xf numFmtId="0" fontId="17" fillId="2" borderId="0" xfId="3" applyFont="1" applyFill="1"/>
    <x:xf numFmtId="0" fontId="21" fillId="2" borderId="0" xfId="3" applyFont="1" applyFill="1" applyAlignment="1">
      <x:alignment vertical="center"/>
    </x:xf>
    <x:xf numFmtId="0" fontId="16" fillId="2" borderId="0" xfId="3" applyFont="1" applyFill="1"/>
    <x:xf numFmtId="0" fontId="23" fillId="0" borderId="0" xfId="5" applyFont="1" applyFill="1" applyBorder="1" applyAlignment="1">
      <x:alignment horizontal="right"/>
    </x:xf>
    <x:xf numFmtId="0" fontId="7" fillId="4" borderId="1" xfId="0" applyFont="1" applyFill="1" applyBorder="1" applyAlignment="1">
      <x:alignment horizontal="left" vertical="center" wrapText="1"/>
    </x:xf>
    <x:xf numFmtId="0" fontId="7" fillId="2" borderId="1" xfId="0" applyFont="1" applyFill="1" applyBorder="1" applyAlignment="1">
      <x:alignment horizontal="left" vertical="center" wrapText="1"/>
    </x:xf>
    <x:xf numFmtId="1" fontId="24" fillId="4" borderId="0" xfId="0" applyNumberFormat="1" applyFont="1" applyFill="1" applyAlignment="1">
      <x:alignment horizontal="center" vertical="center" wrapText="1"/>
    </x:xf>
    <x:xf numFmtId="2" fontId="25" fillId="4" borderId="0" xfId="0" applyNumberFormat="1" applyFont="1" applyFill="1" applyAlignment="1">
      <x:alignment horizontal="center" vertical="center" wrapText="1"/>
    </x:xf>
    <x:xf numFmtId="1" fontId="24" fillId="2" borderId="0" xfId="0" applyNumberFormat="1" applyFont="1" applyFill="1" applyAlignment="1">
      <x:alignment horizontal="center" vertical="center" wrapText="1"/>
    </x:xf>
    <x:xf numFmtId="2" fontId="25" fillId="2" borderId="0" xfId="0" applyNumberFormat="1" applyFont="1" applyFill="1" applyAlignment="1">
      <x:alignment horizontal="center" vertical="center" wrapText="1"/>
    </x:xf>
    <x:xf numFmtId="2" fontId="25" fillId="2" borderId="2" xfId="0" applyNumberFormat="1" applyFont="1" applyFill="1" applyBorder="1" applyAlignment="1">
      <x:alignment horizontal="center" vertical="center" wrapText="1"/>
    </x:xf>
    <x:xf numFmtId="0" fontId="24" fillId="2" borderId="3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2" fontId="25" fillId="4" borderId="2" xfId="0" applyNumberFormat="1" applyFont="1" applyFill="1" applyBorder="1" applyAlignment="1">
      <x:alignment horizontal="center" vertical="center" wrapText="1"/>
    </x:xf>
    <x:xf numFmtId="4" fontId="25" fillId="2" borderId="0" xfId="0" applyNumberFormat="1" applyFont="1" applyFill="1" applyAlignment="1">
      <x:alignment horizontal="center" vertical="center" wrapText="1"/>
    </x:xf>
    <x:xf numFmtId="4" fontId="25" fillId="4" borderId="0" xfId="0" applyNumberFormat="1" applyFont="1" applyFill="1" applyAlignment="1">
      <x:alignment horizontal="center" vertical="center" wrapText="1"/>
    </x:xf>
    <x:xf numFmtId="4" fontId="2" fillId="2" borderId="0" xfId="0" applyNumberFormat="1" applyFont="1" applyFill="1" applyAlignment="1">
      <x:alignment horizontal="left" vertical="center"/>
    </x:xf>
    <x:xf numFmtId="0" fontId="24" fillId="2" borderId="4" xfId="0" applyFont="1" applyFill="1" applyBorder="1" applyAlignment="1">
      <x:alignment horizontal="center" vertical="center" wrapText="1"/>
    </x:xf>
    <x:xf numFmtId="3" fontId="29" fillId="2" borderId="1" xfId="0" applyNumberFormat="1" applyFont="1" applyFill="1" applyBorder="1" applyAlignment="1">
      <x:alignment vertical="center"/>
    </x:xf>
    <x:xf numFmtId="0" fontId="9" fillId="2" borderId="0" xfId="0" applyFont="1" applyFill="1" applyAlignment="1">
      <x:alignment horizontal="left" vertical="center"/>
    </x:xf>
    <x:xf numFmtId="0" fontId="12" fillId="2" borderId="1" xfId="0" applyFont="1" applyFill="1" applyBorder="1" applyAlignment="1">
      <x:alignment vertical="center"/>
    </x:xf>
    <x:xf numFmtId="0" fontId="7" fillId="5" borderId="1" xfId="0" applyFont="1" applyFill="1" applyBorder="1" applyAlignment="1">
      <x:alignment horizontal="left" vertical="center" wrapText="1"/>
    </x:xf>
    <x:xf numFmtId="1" fontId="24" fillId="5" borderId="0" xfId="0" applyNumberFormat="1" applyFont="1" applyFill="1" applyAlignment="1">
      <x:alignment horizontal="center" vertical="center" wrapText="1"/>
    </x:xf>
    <x:xf numFmtId="3" fontId="33" fillId="0" borderId="0" xfId="0" applyNumberFormat="1" applyFont="1" applyAlignment="1">
      <x:alignment vertical="center"/>
    </x:xf>
    <x:xf numFmtId="0" fontId="11" fillId="2" borderId="1" xfId="0" applyFont="1" applyFill="1" applyBorder="1" applyAlignment="1">
      <x:alignment vertical="center"/>
    </x:xf>
    <x:xf numFmtId="0" fontId="10" fillId="2" borderId="4" xfId="0" applyFont="1" applyFill="1" applyBorder="1" applyAlignment="1">
      <x:alignment horizontal="center" vertical="center"/>
    </x:xf>
    <x:xf numFmtId="0" fontId="13" fillId="6" borderId="1" xfId="0" applyFont="1" applyFill="1" applyBorder="1" applyAlignment="1">
      <x:alignment vertical="center"/>
    </x:xf>
    <x:xf numFmtId="0" fontId="13" fillId="6" borderId="2" xfId="0" applyFont="1" applyFill="1" applyBorder="1" applyAlignment="1">
      <x:alignment vertical="center"/>
    </x:xf>
    <x:xf numFmtId="0" fontId="13" fillId="6" borderId="2" xfId="0" applyFont="1" applyFill="1" applyBorder="1" applyAlignment="1">
      <x:alignment vertical="center" wrapText="1"/>
    </x:xf>
    <x:xf numFmtId="0" fontId="13" fillId="6" borderId="5" xfId="0" applyFont="1" applyFill="1" applyBorder="1" applyAlignment="1">
      <x:alignment horizontal="left" vertical="center"/>
    </x:xf>
    <x:xf numFmtId="0" fontId="13" fillId="6" borderId="0" xfId="0" applyFont="1" applyFill="1" applyAlignment="1">
      <x:alignment vertical="center"/>
    </x:xf>
    <x:xf numFmtId="0" fontId="13" fillId="6" borderId="0" xfId="0" applyFont="1" applyFill="1" applyAlignment="1">
      <x:alignment vertical="center" wrapText="1"/>
    </x:xf>
    <x:xf numFmtId="4" fontId="25" fillId="5" borderId="0" xfId="0" applyNumberFormat="1" applyFont="1" applyFill="1" applyAlignment="1">
      <x:alignment horizontal="center" vertical="center" wrapText="1"/>
    </x:xf>
    <x:xf numFmtId="2" fontId="25" fillId="5" borderId="0" xfId="0" applyNumberFormat="1" applyFont="1" applyFill="1" applyAlignment="1">
      <x:alignment horizontal="center" vertical="center" wrapText="1"/>
    </x:xf>
    <x:xf numFmtId="2" fontId="25" fillId="5" borderId="2" xfId="0" applyNumberFormat="1" applyFont="1" applyFill="1" applyBorder="1" applyAlignment="1">
      <x:alignment horizontal="center" vertical="center" wrapText="1"/>
    </x:xf>
    <x:xf numFmtId="0" fontId="18" fillId="5" borderId="1" xfId="3" applyFont="1" applyFill="1" applyBorder="1" applyAlignment="1">
      <x:alignment vertical="center" wrapText="1"/>
    </x:xf>
    <x:xf numFmtId="0" fontId="18" fillId="5" borderId="0" xfId="3" applyFont="1" applyFill="1" applyAlignment="1">
      <x:alignment vertical="center" wrapText="1"/>
    </x:xf>
    <x:xf numFmtId="0" fontId="18" fillId="5" borderId="2" xfId="3" applyFont="1" applyFill="1" applyBorder="1" applyAlignment="1">
      <x:alignment vertical="center" wrapText="1"/>
    </x:xf>
    <x:xf numFmtId="3" fontId="29" fillId="0" borderId="1" xfId="0" applyNumberFormat="1" applyFont="1" applyBorder="1" applyAlignment="1">
      <x:alignment vertical="center"/>
    </x:xf>
    <x:xf numFmtId="0" fontId="7" fillId="2" borderId="5" xfId="0" applyFont="1" applyFill="1" applyBorder="1" applyAlignment="1">
      <x:alignment horizontal="center" vertical="center" wrapText="1"/>
    </x:xf>
    <x:xf numFmtId="3" fontId="8" fillId="0" borderId="1" xfId="0" applyNumberFormat="1" applyFont="1" applyBorder="1" applyAlignment="1">
      <x:alignment vertical="center" wrapText="1"/>
    </x:xf>
    <x:xf numFmtId="0" fontId="7" fillId="2" borderId="7" xfId="0" applyFont="1" applyFill="1" applyBorder="1" applyAlignment="1">
      <x:alignment horizontal="center" vertical="center" wrapText="1"/>
    </x:xf>
    <x:xf numFmtId="0" fontId="24" fillId="2" borderId="8" xfId="0" applyFont="1" applyFill="1" applyBorder="1" applyAlignment="1">
      <x:alignment horizontal="center" vertical="center" wrapText="1"/>
    </x:xf>
    <x:xf numFmtId="0" fontId="24" fillId="2" borderId="9" xfId="0" applyFont="1" applyFill="1" applyBorder="1" applyAlignment="1">
      <x:alignment horizontal="center" vertical="center" wrapText="1"/>
    </x:xf>
    <x:xf numFmtId="0" fontId="24" fillId="2" borderId="10" xfId="0" applyFont="1" applyFill="1" applyBorder="1" applyAlignment="1">
      <x:alignment horizontal="center" vertical="center" wrapText="1"/>
    </x:xf>
    <x:xf numFmtId="0" fontId="7" fillId="2" borderId="11" xfId="0" applyFont="1" applyFill="1" applyBorder="1" applyAlignment="1">
      <x:alignment horizontal="center" vertical="center" wrapText="1"/>
    </x:xf>
    <x:xf numFmtId="0" fontId="24" fillId="2" borderId="12" xfId="0" applyFont="1" applyFill="1" applyBorder="1" applyAlignment="1">
      <x:alignment horizontal="center" vertical="center" wrapText="1"/>
    </x:xf>
    <x:xf numFmtId="0" fontId="19" fillId="2" borderId="5" xfId="3" applyFont="1" applyFill="1" applyBorder="1" applyAlignment="1">
      <x:alignment horizontal="right" vertical="center"/>
    </x:xf>
    <x:xf numFmtId="0" fontId="16" fillId="5" borderId="5" xfId="3" applyFont="1" applyFill="1" applyBorder="1"/>
    <x:xf numFmtId="0" fontId="4" fillId="2" borderId="14" xfId="0" applyFont="1" applyFill="1" applyBorder="1" applyAlignment="1">
      <x:alignment vertical="center" wrapText="1"/>
    </x:xf>
    <x:xf numFmtId="0" fontId="13" fillId="6" borderId="15" xfId="0" applyFont="1" applyFill="1" applyBorder="1" applyAlignment="1">
      <x:alignment vertical="center"/>
    </x:xf>
    <x:xf numFmtId="0" fontId="13" fillId="6" borderId="16" xfId="0" applyFont="1" applyFill="1" applyBorder="1" applyAlignment="1">
      <x:alignment vertical="center"/>
    </x:xf>
    <x:xf numFmtId="0" fontId="7" fillId="4" borderId="5" xfId="0" applyFont="1" applyFill="1" applyBorder="1" applyAlignment="1">
      <x:alignment horizontal="left" vertical="center" wrapText="1"/>
    </x:xf>
    <x:xf numFmtId="1" fontId="24" fillId="4" borderId="15" xfId="0" applyNumberFormat="1" applyFont="1" applyFill="1" applyBorder="1" applyAlignment="1">
      <x:alignment horizontal="center" vertical="center" wrapText="1"/>
    </x:xf>
    <x:xf numFmtId="4" fontId="25" fillId="4" borderId="15" xfId="0" applyNumberFormat="1" applyFont="1" applyFill="1" applyBorder="1" applyAlignment="1">
      <x:alignment horizontal="center" vertical="center" wrapText="1"/>
    </x:xf>
    <x:xf numFmtId="2" fontId="25" fillId="4" borderId="15" xfId="0" applyNumberFormat="1" applyFont="1" applyFill="1" applyBorder="1" applyAlignment="1">
      <x:alignment horizontal="center" vertical="center" wrapText="1"/>
    </x:xf>
    <x:xf numFmtId="2" fontId="25" fillId="4" borderId="16" xfId="0" applyNumberFormat="1" applyFont="1" applyFill="1" applyBorder="1" applyAlignment="1">
      <x:alignment horizontal="center" vertical="center" wrapText="1"/>
    </x:xf>
    <x:xf numFmtId="3" fontId="13" fillId="2" borderId="5" xfId="0" applyNumberFormat="1" applyFont="1" applyFill="1" applyBorder="1" applyAlignment="1">
      <x:alignment vertical="center"/>
    </x:xf>
    <x:xf numFmtId="0" fontId="2" fillId="2" borderId="15" xfId="0" applyFont="1" applyFill="1" applyBorder="1" applyAlignment="1">
      <x:alignment horizontal="left" vertical="center"/>
    </x:xf>
    <x:xf numFmtId="0" fontId="2" fillId="2" borderId="15" xfId="0" applyFont="1" applyFill="1" applyBorder="1" applyAlignment="1">
      <x:alignment horizontal="center" vertical="center"/>
    </x:xf>
    <x:xf numFmtId="0" fontId="2" fillId="2" borderId="16" xfId="0" applyFont="1" applyFill="1" applyBorder="1" applyAlignment="1">
      <x:alignment horizontal="center" vertical="center"/>
    </x:xf>
    <x:xf numFmtId="0" fontId="24" fillId="2" borderId="15" xfId="0" applyFont="1" applyFill="1" applyBorder="1" applyAlignment="1">
      <x:alignment horizontal="center" vertical="center" wrapText="1"/>
    </x:xf>
    <x:xf numFmtId="3" fontId="29" fillId="2" borderId="17" xfId="0" applyNumberFormat="1" applyFont="1" applyFill="1" applyBorder="1" applyAlignment="1">
      <x:alignment vertical="center"/>
    </x:xf>
    <x:xf numFmtId="0" fontId="13" fillId="6" borderId="7" xfId="0" applyFont="1" applyFill="1" applyBorder="1" applyAlignment="1">
      <x:alignment vertical="center"/>
    </x:xf>
    <x:xf numFmtId="0" fontId="13" fillId="6" borderId="8" xfId="0" applyFont="1" applyFill="1" applyBorder="1" applyAlignment="1">
      <x:alignment vertical="center"/>
    </x:xf>
    <x:xf numFmtId="0" fontId="13" fillId="6" borderId="18" xfId="0" applyFont="1" applyFill="1" applyBorder="1" applyAlignment="1">
      <x:alignment vertical="center"/>
    </x:xf>
    <x:xf numFmtId="0" fontId="13" fillId="6" borderId="19" xfId="0" applyFont="1" applyFill="1" applyBorder="1" applyAlignment="1">
      <x:alignment vertical="center"/>
    </x:xf>
    <x:xf numFmtId="0" fontId="13" fillId="6" borderId="0" xfId="0" applyFont="1" applyFill="1" applyBorder="1" applyAlignment="1">
      <x:alignment vertical="center"/>
    </x:xf>
    <x:xf numFmtId="0" fontId="13" fillId="6" borderId="20" xfId="0" applyFont="1" applyFill="1" applyBorder="1" applyAlignment="1">
      <x:alignment vertical="center"/>
    </x:xf>
    <x:xf numFmtId="0" fontId="13" fillId="6" borderId="0" xfId="0" applyFont="1" applyFill="1" applyBorder="1" applyAlignment="1">
      <x:alignment vertical="center" wrapText="1"/>
    </x:xf>
    <x:xf numFmtId="0" fontId="13" fillId="6" borderId="11" xfId="0" applyFont="1" applyFill="1" applyBorder="1" applyAlignment="1">
      <x:alignment horizontal="left" vertical="center"/>
    </x:xf>
    <x:xf numFmtId="0" fontId="13" fillId="6" borderId="12" xfId="0" applyFont="1" applyFill="1" applyBorder="1" applyAlignment="1">
      <x:alignment vertical="center"/>
    </x:xf>
    <x:xf numFmtId="0" fontId="13" fillId="6" borderId="13" xfId="0" applyFont="1" applyFill="1" applyBorder="1" applyAlignment="1">
      <x:alignment vertical="center" wrapText="1"/>
    </x:xf>
    <x:xf numFmtId="0" fontId="16" fillId="2" borderId="15" xfId="3" applyFont="1" applyFill="1" applyBorder="1"/>
    <x:xf numFmtId="0" fontId="18" fillId="5" borderId="22" xfId="3" applyFont="1" applyFill="1" applyBorder="1" applyAlignment="1">
      <x:alignment vertical="center" wrapText="1"/>
    </x:xf>
    <x:xf numFmtId="0" fontId="18" fillId="5" borderId="23" xfId="3" applyFont="1" applyFill="1" applyBorder="1" applyAlignment="1">
      <x:alignment vertical="center" wrapText="1"/>
    </x:xf>
    <x:xf numFmtId="0" fontId="23" fillId="2" borderId="15" xfId="5" applyFont="1" applyFill="1" applyBorder="1" applyAlignment="1">
      <x:alignment vertical="center"/>
    </x:xf>
    <x:xf numFmtId="0" fontId="21" fillId="2" borderId="15" xfId="3" applyFont="1" applyFill="1" applyBorder="1" applyAlignment="1">
      <x:alignment vertical="center"/>
    </x:xf>
    <x:xf numFmtId="0" fontId="21" fillId="2" borderId="16" xfId="3" applyFont="1" applyFill="1" applyBorder="1" applyAlignment="1">
      <x:alignment vertical="center"/>
    </x:xf>
    <x:xf numFmtId="0" fontId="22" fillId="2" borderId="15" xfId="5" applyFill="1" applyBorder="1" applyAlignment="1">
      <x:alignment vertical="center"/>
    </x:xf>
    <x:xf numFmtId="0" fontId="17" fillId="5" borderId="15" xfId="3" applyFont="1" applyFill="1" applyBorder="1"/>
    <x:xf numFmtId="0" fontId="17" fillId="5" borderId="16" xfId="3" applyFont="1" applyFill="1" applyBorder="1"/>
    <x:xf numFmtId="0" fontId="11" fillId="2" borderId="24" xfId="0" applyFont="1" applyFill="1" applyBorder="1" applyAlignment="1">
      <x:alignment vertical="center"/>
    </x:xf>
    <x:xf numFmtId="0" fontId="9" fillId="2" borderId="25" xfId="0" applyFont="1" applyFill="1" applyBorder="1" applyAlignment="1">
      <x:alignment horizontal="left" vertical="center"/>
    </x:xf>
    <x:xf numFmtId="0" fontId="9" fillId="2" borderId="25" xfId="0" applyFont="1" applyFill="1" applyBorder="1" applyAlignment="1">
      <x:alignment vertical="center"/>
    </x:xf>
    <x:xf numFmtId="0" fontId="9" fillId="2" borderId="25" xfId="0" applyFont="1" applyFill="1" applyBorder="1" applyAlignment="1">
      <x:alignment horizontal="center" vertical="center"/>
    </x:xf>
    <x:xf numFmtId="0" fontId="10" fillId="2" borderId="26" xfId="0" applyFont="1" applyFill="1" applyBorder="1" applyAlignment="1">
      <x:alignment horizontal="center" vertical="center"/>
    </x:xf>
    <x:xf numFmtId="0" fontId="7" fillId="2" borderId="28" xfId="0" applyFont="1" applyFill="1" applyBorder="1" applyAlignment="1">
      <x:alignment horizontal="center" vertical="center" wrapText="1"/>
    </x:xf>
    <x:xf numFmtId="0" fontId="11" fillId="2" borderId="29" xfId="0" applyFont="1" applyFill="1" applyBorder="1" applyAlignment="1">
      <x:alignment vertical="center"/>
    </x:xf>
    <x:xf numFmtId="0" fontId="9" fillId="2" borderId="30" xfId="0" applyFont="1" applyFill="1" applyBorder="1" applyAlignment="1">
      <x:alignment horizontal="left" vertical="center"/>
    </x:xf>
    <x:xf numFmtId="0" fontId="9" fillId="2" borderId="30" xfId="0" applyFont="1" applyFill="1" applyBorder="1" applyAlignment="1">
      <x:alignment vertical="center"/>
    </x:xf>
    <x:xf numFmtId="0" fontId="9" fillId="2" borderId="30" xfId="0" applyFont="1" applyFill="1" applyBorder="1" applyAlignment="1">
      <x:alignment horizontal="center" vertical="center"/>
    </x:xf>
    <x:xf numFmtId="0" fontId="10" fillId="2" borderId="30" xfId="0" applyFont="1" applyFill="1" applyBorder="1" applyAlignment="1">
      <x:alignment horizontal="center" vertical="center"/>
    </x:xf>
    <x:xf numFmtId="0" fontId="10" fillId="2" borderId="31" xfId="0" applyFont="1" applyFill="1" applyBorder="1" applyAlignment="1">
      <x:alignment horizontal="center" vertical="center"/>
    </x:xf>
    <x:xf numFmtId="3" fontId="29" fillId="2" borderId="32" xfId="0" applyNumberFormat="1" applyFont="1" applyFill="1" applyBorder="1" applyAlignment="1">
      <x:alignment vertical="center"/>
    </x:xf>
    <x:xf numFmtId="0" fontId="37" fillId="3" borderId="22" xfId="3" applyFont="1" applyFill="1" applyBorder="1" applyAlignment="1">
      <x:alignment horizontal="center" vertical="center"/>
    </x:xf>
    <x:xf numFmtId="0" fontId="37" fillId="3" borderId="15" xfId="3" applyFont="1" applyFill="1" applyBorder="1" applyAlignment="1">
      <x:alignment horizontal="center" vertical="center"/>
    </x:xf>
    <x:xf numFmtId="0" fontId="18" fillId="5" borderId="1" xfId="3" applyFont="1" applyFill="1" applyBorder="1" applyAlignment="1">
      <x:alignment horizontal="center" vertical="center" wrapText="1"/>
    </x:xf>
    <x:xf numFmtId="0" fontId="18" fillId="5" borderId="0" xfId="3" applyFont="1" applyFill="1" applyAlignment="1">
      <x:alignment horizontal="center" vertical="center" wrapText="1"/>
    </x:xf>
    <x:xf numFmtId="0" fontId="18" fillId="5" borderId="2" xfId="3" applyFont="1" applyFill="1" applyBorder="1" applyAlignment="1">
      <x:alignment horizontal="center" vertical="center" wrapText="1"/>
    </x:xf>
    <x:xf numFmtId="0" fontId="12" fillId="2" borderId="17" xfId="0" applyFont="1" applyFill="1" applyBorder="1" applyAlignment="1">
      <x:alignment horizontal="left" vertical="center" wrapText="1"/>
    </x:xf>
    <x:xf numFmtId="0" fontId="12" fillId="2" borderId="6" xfId="0" applyFont="1" applyFill="1" applyBorder="1" applyAlignment="1">
      <x:alignment horizontal="left" vertical="center" wrapText="1"/>
    </x:xf>
    <x:xf numFmtId="0" fontId="12" fillId="2" borderId="27" xfId="0" applyFont="1" applyFill="1" applyBorder="1" applyAlignment="1">
      <x:alignment horizontal="left" vertical="center" wrapText="1"/>
    </x:xf>
    <x:xf numFmtId="0" fontId="32" fillId="3" borderId="21" xfId="2" applyFont="1" applyFill="1" applyBorder="1" applyAlignment="1">
      <x:alignment horizontal="center" vertical="center"/>
    </x:xf>
    <x:xf numFmtId="0" fontId="32" fillId="3" borderId="6" xfId="2" applyFont="1" applyFill="1" applyBorder="1" applyAlignment="1">
      <x:alignment horizontal="center" vertical="center"/>
    </x:xf>
    <x:xf numFmtId="0" fontId="24" fillId="2" borderId="22" xfId="0" applyFont="1" applyFill="1" applyBorder="1" applyAlignment="1">
      <x:alignment horizontal="center" vertical="center" wrapText="1"/>
    </x:xf>
    <x:xf numFmtId="0" fontId="24" fillId="2" borderId="15" xfId="0" applyFont="1" applyFill="1" applyBorder="1" applyAlignment="1">
      <x:alignment horizontal="center" vertical="center" wrapText="1"/>
    </x:xf>
    <x:xf numFmtId="0" fontId="24" fillId="2" borderId="33" xfId="0" applyFont="1" applyFill="1" applyBorder="1" applyAlignment="1">
      <x:alignment horizontal="center" vertical="center" wrapText="1"/>
    </x:xf>
    <x:xf numFmtId="0" fontId="24" fillId="2" borderId="34" xfId="0" applyFont="1" applyFill="1" applyBorder="1" applyAlignment="1">
      <x:alignment horizontal="center" vertical="center" wrapText="1"/>
    </x:xf>
    <x:xf numFmtId="0" fontId="24" fillId="2" borderId="4" xfId="0" applyFont="1" applyFill="1" applyBorder="1" applyAlignment="1">
      <x:alignment horizontal="center" vertical="center" wrapText="1"/>
    </x:xf>
    <x:xf numFmtId="0" fontId="24" fillId="2" borderId="3" xfId="0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8" fillId="7" borderId="0" xfId="0" applyNumberFormat="1" applyFont="1" applyFill="1" applyBorder="1"/>
    <x:xf numFmtId="0" fontId="38" fillId="7" borderId="0" xfId="0" applyNumberFormat="1" applyFont="1" applyFill="1" applyBorder="1" applyAlignment="1">
      <x:alignment horizontal="left"/>
    </x:xf>
    <x:xf numFmtId="0" fontId="38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9" fillId="8" borderId="0" xfId="0" applyNumberFormat="1" applyFont="1" applyFill="1" applyBorder="1"/>
    <x:xf numFmtId="0" fontId="39" fillId="8" borderId="0" xfId="0" applyNumberFormat="1" applyFont="1" applyFill="1" applyBorder="1" applyAlignment="1">
      <x:alignment wrapText="1"/>
    </x:xf>
    <x:xf numFmtId="0" fontId="39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0" fillId="9" borderId="0" xfId="0" applyNumberFormat="1" applyFont="1" applyFill="1" applyBorder="1"/>
    <x:xf numFmtId="0" fontId="40" fillId="9" borderId="35" xfId="0" applyNumberFormat="1" applyFont="1" applyFill="1" applyBorder="1"/>
    <x:xf numFmtId="0" fontId="40" fillId="9" borderId="35" xfId="0" applyNumberFormat="1" applyFont="1" applyFill="1" applyBorder="1" applyAlignment="1">
      <x:alignment wrapText="1"/>
    </x:xf>
    <x:xf numFmtId="0" fontId="40" fillId="9" borderId="35" xfId="0" applyNumberFormat="1" applyFont="1" applyFill="1" applyBorder="1" applyAlignment="1">
      <x:alignment horizontal="center" wrapText="1"/>
    </x:xf>
    <x:xf numFmtId="0" fontId="40" fillId="9" borderId="35" xfId="0" applyNumberFormat="1" applyFont="1" applyFill="1" applyBorder="1" applyAlignment="1">
      <x:alignment horizontal="center" vertical="center" wrapText="1"/>
    </x:xf>
    <x:xf numFmtId="0" fontId="41" fillId="0" borderId="0" xfId="0" applyNumberFormat="1" applyFont="1" applyFill="1" applyBorder="1"/>
    <x:xf numFmtId="0" fontId="42" fillId="0" borderId="0" xfId="0" applyNumberFormat="1" applyFont="1" applyFill="1" applyBorder="1"/>
    <x:xf numFmtId="0" fontId="43" fillId="0" borderId="0" xfId="0" applyNumberFormat="1" applyFont="1" applyFill="1" applyBorder="1"/>
    <x:xf numFmtId="0" fontId="43" fillId="0" borderId="0" xfId="0" applyNumberFormat="1" applyFont="1" applyFill="1" applyBorder="1" applyAlignment="1">
      <x:alignment vertical="center"/>
    </x:xf>
    <x:xf numFmtId="0" fontId="43" fillId="0" borderId="36" xfId="0" applyNumberFormat="1" applyFont="1" applyFill="1" applyBorder="1" applyAlignment="1">
      <x:alignment vertical="center"/>
    </x:xf>
    <x:xf numFmtId="0" fontId="43" fillId="0" borderId="37" xfId="0" applyNumberFormat="1" applyFont="1" applyFill="1" applyBorder="1" applyAlignment="1">
      <x:alignment vertical="center"/>
    </x:xf>
    <x:xf numFmtId="0" fontId="43" fillId="0" borderId="36" xfId="0" applyNumberFormat="1" applyFont="1" applyFill="1" applyBorder="1" applyAlignment="1">
      <x:alignment vertical="center" wrapText="1"/>
    </x:xf>
    <x:xf numFmtId="0" fontId="43" fillId="0" borderId="37" xfId="0" applyNumberFormat="1" applyFont="1" applyFill="1" applyBorder="1" applyAlignment="1">
      <x:alignment vertical="center" wrapText="1"/>
    </x:xf>
    <x:xf numFmtId="0" fontId="44" fillId="0" borderId="36" xfId="0" applyNumberFormat="1" applyFont="1" applyFill="1" applyBorder="1" applyAlignment="1">
      <x:alignment vertical="center"/>
    </x:xf>
    <x:xf numFmtId="0" fontId="44" fillId="0" borderId="37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41" fillId="10" borderId="0" xfId="0" applyNumberFormat="1" applyFont="1" applyFill="1" applyBorder="1" applyAlignment="1">
      <x:alignment wrapText="1"/>
    </x:xf>
    <x:xf numFmtId="0" fontId="42" fillId="10" borderId="0" xfId="0" applyNumberFormat="1" applyFont="1" applyFill="1" applyBorder="1" applyAlignment="1">
      <x:alignment wrapText="1"/>
    </x:xf>
    <x:xf numFmtId="0" fontId="43" fillId="10" borderId="0" xfId="0" applyNumberFormat="1" applyFont="1" applyFill="1" applyBorder="1" applyAlignment="1">
      <x:alignment wrapText="1"/>
    </x:xf>
    <x:xf numFmtId="0" fontId="43" fillId="10" borderId="0" xfId="0" applyNumberFormat="1" applyFont="1" applyFill="1" applyBorder="1" applyAlignment="1">
      <x:alignment vertical="center" wrapText="1"/>
    </x:xf>
    <x:xf numFmtId="0" fontId="43" fillId="10" borderId="36" xfId="0" applyNumberFormat="1" applyFont="1" applyFill="1" applyBorder="1" applyAlignment="1">
      <x:alignment vertical="center" wrapText="1"/>
    </x:xf>
    <x:xf numFmtId="0" fontId="43" fillId="11" borderId="37" xfId="0" applyNumberFormat="1" applyFont="1" applyFill="1" applyBorder="1" applyAlignment="1">
      <x:alignment vertical="center" wrapText="1"/>
    </x:xf>
    <x:xf numFmtId="0" fontId="45" fillId="0" borderId="36" xfId="0" applyNumberFormat="1" applyFont="1" applyFill="1" applyBorder="1" applyAlignment="1">
      <x:alignment vertical="center"/>
    </x:xf>
    <x:xf numFmtId="0" fontId="46" fillId="0" borderId="37" xfId="0" applyNumberFormat="1" applyFont="1" applyFill="1" applyBorder="1" applyAlignment="1">
      <x:alignment vertical="center"/>
    </x:xf>
    <x:xf numFmtId="0" fontId="47" fillId="0" borderId="0" xfId="0" applyNumberFormat="1" applyFont="1" applyFill="1" applyBorder="1"/>
    <x:xf numFmtId="0" fontId="48" fillId="0" borderId="0" xfId="0" applyNumberFormat="1" applyFont="1" applyFill="1" applyBorder="1"/>
    <x:xf numFmtId="0" fontId="45" fillId="0" borderId="0" xfId="0" applyNumberFormat="1" applyFont="1" applyFill="1" applyBorder="1"/>
    <x:xf numFmtId="0" fontId="43" fillId="11" borderId="37" xfId="0" applyNumberFormat="1" applyFont="1" applyFill="1" applyBorder="1" applyAlignment="1">
      <x:alignment vertical="center"/>
    </x:xf>
    <x:xf numFmtId="200" fontId="43" fillId="0" borderId="36" xfId="0" applyNumberFormat="1" applyFont="1" applyFill="1" applyBorder="1" applyAlignment="1">
      <x:alignment vertical="center"/>
    </x:xf>
    <x:xf numFmtId="200" fontId="43" fillId="11" borderId="37" xfId="0" applyNumberFormat="1" applyFont="1" applyFill="1" applyBorder="1" applyAlignment="1">
      <x:alignment vertical="center"/>
    </x:xf>
    <x:xf numFmtId="200" fontId="43" fillId="0" borderId="37" xfId="0" applyNumberFormat="1" applyFont="1" applyFill="1" applyBorder="1" applyAlignment="1">
      <x:alignment vertical="center"/>
    </x:xf>
    <x:xf numFmtId="201" fontId="43" fillId="0" borderId="36" xfId="0" applyNumberFormat="1" applyFont="1" applyFill="1" applyBorder="1" applyAlignment="1">
      <x:alignment vertical="center"/>
    </x:xf>
    <x:xf numFmtId="201" fontId="43" fillId="11" borderId="37" xfId="0" applyNumberFormat="1" applyFont="1" applyFill="1" applyBorder="1" applyAlignment="1">
      <x:alignment vertical="center"/>
    </x:xf>
    <x:xf numFmtId="201" fontId="43" fillId="0" borderId="37" xfId="0" applyNumberFormat="1" applyFont="1" applyFill="1" applyBorder="1" applyAlignment="1">
      <x:alignment vertical="center"/>
    </x:xf>
    <x:xf numFmtId="200" fontId="46" fillId="0" borderId="36" xfId="0" applyNumberFormat="1" applyFont="1" applyFill="1" applyBorder="1" applyAlignment="1">
      <x:alignment vertical="center"/>
    </x:xf>
    <x:xf numFmtId="201" fontId="46" fillId="0" borderId="36" xfId="0" applyNumberFormat="1" applyFont="1" applyFill="1" applyBorder="1" applyAlignment="1">
      <x:alignment vertical="center"/>
    </x:xf>
    <x:xf numFmtId="200" fontId="46" fillId="11" borderId="37" xfId="0" applyNumberFormat="1" applyFont="1" applyFill="1" applyBorder="1" applyAlignment="1">
      <x:alignment vertical="center"/>
    </x:xf>
    <x:xf numFmtId="201" fontId="46" fillId="11" borderId="37" xfId="0" applyNumberFormat="1" applyFont="1" applyFill="1" applyBorder="1" applyAlignment="1">
      <x:alignment vertical="center"/>
    </x:xf>
    <x:xf numFmtId="200" fontId="46" fillId="0" borderId="37" xfId="0" applyNumberFormat="1" applyFont="1" applyFill="1" applyBorder="1" applyAlignment="1">
      <x:alignment vertical="center"/>
    </x:xf>
    <x:xf numFmtId="201" fontId="46" fillId="0" borderId="37" xfId="0" applyNumberFormat="1" applyFont="1" applyFill="1" applyBorder="1" applyAlignment="1">
      <x:alignment vertical="center"/>
    </x:xf>
    <x:xf numFmtId="0" fontId="43" fillId="12" borderId="37" xfId="0" applyNumberFormat="1" applyFont="1" applyFill="1" applyBorder="1" applyAlignment="1">
      <x:alignment vertical="center"/>
    </x:xf>
    <x:xf numFmtId="200" fontId="46" fillId="12" borderId="37" xfId="0" applyNumberFormat="1" applyFont="1" applyFill="1" applyBorder="1" applyAlignment="1">
      <x:alignment vertical="center"/>
    </x:xf>
    <x:xf numFmtId="0" fontId="43" fillId="13" borderId="37" xfId="0" applyNumberFormat="1" applyFont="1" applyFill="1" applyBorder="1" applyAlignment="1">
      <x:alignment vertical="center"/>
    </x:xf>
    <x:xf numFmtId="200" fontId="46" fillId="13" borderId="37" xfId="0" applyNumberFormat="1" applyFont="1" applyFill="1" applyBorder="1" applyAlignment="1">
      <x:alignment vertical="center"/>
    </x:xf>
    <x:xf numFmtId="0" fontId="49" fillId="13" borderId="37" xfId="0" applyNumberFormat="1" applyFont="1" applyFill="1" applyBorder="1" applyAlignment="1">
      <x:alignment vertical="center"/>
    </x:xf>
    <x:xf numFmtId="200" fontId="49" fillId="13" borderId="37" xfId="0" applyNumberFormat="1" applyFont="1" applyFill="1" applyBorder="1" applyAlignment="1">
      <x:alignment vertical="center"/>
    </x:xf>
    <x:xf numFmtId="0" fontId="40" fillId="13" borderId="37" xfId="0" applyNumberFormat="1" applyFont="1" applyFill="1" applyBorder="1" applyAlignment="1">
      <x:alignment vertical="center"/>
    </x:xf>
    <x:xf numFmtId="200" fontId="40" fillId="13" borderId="37" xfId="0" applyNumberFormat="1" applyFont="1" applyFill="1" applyBorder="1" applyAlignment="1">
      <x:alignment vertical="center"/>
    </x:xf>
    <x:xf numFmtId="200" fontId="47" fillId="0" borderId="0" xfId="0" applyNumberFormat="1" applyFont="1" applyFill="1" applyBorder="1"/>
    <x:xf numFmtId="200" fontId="48" fillId="0" borderId="0" xfId="0" applyNumberFormat="1" applyFont="1" applyFill="1" applyBorder="1"/>
    <x:xf numFmtId="200" fontId="45" fillId="0" borderId="0" xfId="0" applyNumberFormat="1" applyFont="1" applyFill="1" applyBorder="1"/>
    <x:xf numFmtId="200" fontId="43" fillId="0" borderId="0" xfId="0" applyNumberFormat="1" applyFont="1" applyFill="1" applyBorder="1"/>
    <x:xf numFmtId="200" fontId="43" fillId="0" borderId="0" xfId="0" applyNumberFormat="1" applyFont="1" applyFill="1" applyBorder="1" applyAlignment="1">
      <x:alignment vertical="center"/>
    </x:xf>
    <x:xf numFmtId="202" fontId="43" fillId="0" borderId="36" xfId="0" applyNumberFormat="1" applyFont="1" applyFill="1" applyBorder="1" applyAlignment="1">
      <x:alignment vertical="center"/>
    </x:xf>
    <x:xf numFmtId="202" fontId="43" fillId="11" borderId="37" xfId="0" applyNumberFormat="1" applyFont="1" applyFill="1" applyBorder="1" applyAlignment="1">
      <x:alignment vertical="center"/>
    </x:xf>
    <x:xf numFmtId="202" fontId="43" fillId="0" borderId="37" xfId="0" applyNumberFormat="1" applyFont="1" applyFill="1" applyBorder="1" applyAlignment="1">
      <x:alignment vertical="center"/>
    </x:xf>
    <x:xf numFmtId="202" fontId="46" fillId="0" borderId="36" xfId="0" applyNumberFormat="1" applyFont="1" applyFill="1" applyBorder="1" applyAlignment="1">
      <x:alignment vertical="center"/>
    </x:xf>
    <x:xf numFmtId="202" fontId="46" fillId="11" borderId="37" xfId="0" applyNumberFormat="1" applyFont="1" applyFill="1" applyBorder="1" applyAlignment="1">
      <x:alignment vertical="center"/>
    </x:xf>
    <x:xf numFmtId="202" fontId="46" fillId="0" borderId="37" xfId="0" applyNumberFormat="1" applyFont="1" applyFill="1" applyBorder="1" applyAlignment="1">
      <x:alignment vertical="center"/>
    </x:xf>
    <x:xf numFmtId="201" fontId="46" fillId="13" borderId="37" xfId="0" applyNumberFormat="1" applyFont="1" applyFill="1" applyBorder="1" applyAlignment="1">
      <x:alignment vertical="center"/>
    </x:xf>
    <x:xf numFmtId="202" fontId="46" fillId="13" borderId="37" xfId="0" applyNumberFormat="1" applyFont="1" applyFill="1" applyBorder="1" applyAlignment="1">
      <x:alignment vertical="center"/>
    </x:xf>
    <x:xf numFmtId="201" fontId="49" fillId="13" borderId="37" xfId="0" applyNumberFormat="1" applyFont="1" applyFill="1" applyBorder="1" applyAlignment="1">
      <x:alignment vertical="center"/>
    </x:xf>
    <x:xf numFmtId="202" fontId="49" fillId="13" borderId="37" xfId="0" applyNumberFormat="1" applyFont="1" applyFill="1" applyBorder="1" applyAlignment="1">
      <x:alignment vertical="center"/>
    </x:xf>
    <x:xf numFmtId="201" fontId="40" fillId="13" borderId="37" xfId="0" applyNumberFormat="1" applyFont="1" applyFill="1" applyBorder="1" applyAlignment="1">
      <x:alignment vertical="center"/>
    </x:xf>
    <x:xf numFmtId="202" fontId="40" fillId="13" borderId="37" xfId="0" applyNumberFormat="1" applyFont="1" applyFill="1" applyBorder="1" applyAlignment="1">
      <x:alignment vertical="center"/>
    </x:xf>
    <x:xf numFmtId="203" fontId="43" fillId="0" borderId="36" xfId="0" applyNumberFormat="1" applyFont="1" applyFill="1" applyBorder="1" applyAlignment="1">
      <x:alignment vertical="center"/>
    </x:xf>
    <x:xf numFmtId="203" fontId="43" fillId="11" borderId="37" xfId="0" applyNumberFormat="1" applyFont="1" applyFill="1" applyBorder="1" applyAlignment="1">
      <x:alignment vertical="center"/>
    </x:xf>
    <x:xf numFmtId="203" fontId="43" fillId="0" borderId="37" xfId="0" applyNumberFormat="1" applyFont="1" applyFill="1" applyBorder="1" applyAlignment="1">
      <x:alignment vertical="center"/>
    </x:xf>
    <x:xf numFmtId="204" fontId="43" fillId="0" borderId="36" xfId="0" applyNumberFormat="1" applyFont="1" applyFill="1" applyBorder="1" applyAlignment="1">
      <x:alignment vertical="center"/>
    </x:xf>
    <x:xf numFmtId="204" fontId="43" fillId="11" borderId="37" xfId="0" applyNumberFormat="1" applyFont="1" applyFill="1" applyBorder="1" applyAlignment="1">
      <x:alignment vertical="center"/>
    </x:xf>
    <x:xf numFmtId="204" fontId="43" fillId="0" borderId="37" xfId="0" applyNumberFormat="1" applyFont="1" applyFill="1" applyBorder="1" applyAlignment="1">
      <x:alignment vertical="center"/>
    </x:xf>
    <x:xf numFmtId="204" fontId="46" fillId="0" borderId="36" xfId="0" applyNumberFormat="1" applyFont="1" applyFill="1" applyBorder="1" applyAlignment="1">
      <x:alignment vertical="center"/>
    </x:xf>
    <x:xf numFmtId="204" fontId="46" fillId="11" borderId="37" xfId="0" applyNumberFormat="1" applyFont="1" applyFill="1" applyBorder="1" applyAlignment="1">
      <x:alignment vertical="center"/>
    </x:xf>
    <x:xf numFmtId="204" fontId="46" fillId="0" borderId="37" xfId="0" applyNumberFormat="1" applyFont="1" applyFill="1" applyBorder="1" applyAlignment="1">
      <x:alignment vertical="center"/>
    </x:xf>
    <x:xf numFmtId="205" fontId="43" fillId="0" borderId="37" xfId="0" applyNumberFormat="1" applyFont="1" applyFill="1" applyBorder="1" applyAlignment="1">
      <x:alignment vertical="center"/>
    </x:xf>
    <x:xf numFmtId="0" fontId="46" fillId="0" borderId="36" xfId="0" applyNumberFormat="1" applyFont="1" applyFill="1" applyBorder="1" applyAlignment="1">
      <x:alignment vertical="center"/>
    </x:xf>
    <x:xf numFmtId="0" fontId="46" fillId="11" borderId="37" xfId="0" applyNumberFormat="1" applyFont="1" applyFill="1" applyBorder="1" applyAlignment="1">
      <x:alignment vertical="center"/>
    </x:xf>
    <x:xf numFmtId="0" fontId="46" fillId="13" borderId="37" xfId="0" applyNumberFormat="1" applyFont="1" applyFill="1" applyBorder="1" applyAlignment="1">
      <x:alignment vertical="center"/>
    </x:xf>
    <x:xf numFmtId="0" fontId="44" fillId="12" borderId="37" xfId="0" applyNumberFormat="1" applyFont="1" applyFill="1" applyBorder="1" applyAlignment="1">
      <x:alignment vertical="center"/>
    </x:xf>
    <x:xf numFmtId="200" fontId="50" fillId="12" borderId="37" xfId="0" applyNumberFormat="1" applyFont="1" applyFill="1" applyBorder="1" applyAlignment="1">
      <x:alignment vertical="center"/>
    </x:xf>
    <x:xf numFmtId="0" fontId="45" fillId="11" borderId="37" xfId="0" applyNumberFormat="1" applyFont="1" applyFill="1" applyBorder="1" applyAlignment="1">
      <x:alignment vertical="center"/>
    </x:xf>
    <x:xf numFmtId="0" fontId="45" fillId="0" borderId="37" xfId="0" applyNumberFormat="1" applyFont="1" applyFill="1" applyBorder="1" applyAlignment="1">
      <x:alignment vertical="center"/>
    </x:xf>
    <x:xf numFmtId="200" fontId="45" fillId="0" borderId="36" xfId="0" applyNumberFormat="1" applyFont="1" applyFill="1" applyBorder="1" applyAlignment="1">
      <x:alignment vertical="center"/>
    </x:xf>
    <x:xf numFmtId="200" fontId="45" fillId="11" borderId="37" xfId="0" applyNumberFormat="1" applyFont="1" applyFill="1" applyBorder="1" applyAlignment="1">
      <x:alignment vertical="center"/>
    </x:xf>
    <x:xf numFmtId="200" fontId="45" fillId="0" borderId="37" xfId="0" applyNumberFormat="1" applyFont="1" applyFill="1" applyBorder="1" applyAlignment="1">
      <x:alignment vertical="center"/>
    </x:xf>
  </x:cellXfs>
  <x:cellStyles count="7">
    <x:cellStyle name="Hipervínculo" xfId="5"/>
    <x:cellStyle name="Hipervínculo 2" xfId="4"/>
    <x:cellStyle name="Millares" xfId="1"/>
    <x:cellStyle name="Normal" xfId="0"/>
    <x:cellStyle name="Normal 2" xfId="3"/>
    <x:cellStyle name="Normal 3" xfId="6"/>
    <x:cellStyle name="Normal_Desesta. 4-13" xfId="2"/>
  </x:cellStyles>
  <x:dxfs count="6"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DE8E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6ae187998494c" /><Relationship Type="http://schemas.openxmlformats.org/officeDocument/2006/relationships/theme" Target="/xl/theme/theme1.xml" Id="R36b3c438ba7d4e77" /><Relationship Type="http://schemas.openxmlformats.org/officeDocument/2006/relationships/sharedStrings" Target="/xl/sharedStrings.xml" Id="R882dc22a9dae4372" /><Relationship Type="http://schemas.openxmlformats.org/officeDocument/2006/relationships/worksheet" Target="/xl/worksheets/sheet1.xml" Id="R37fc478f8bba4ffd" /><Relationship Type="http://schemas.openxmlformats.org/officeDocument/2006/relationships/worksheet" Target="/xl/worksheets/sheet2.xml" Id="Re1fcff8894ea4291" /><Relationship Type="http://schemas.openxmlformats.org/officeDocument/2006/relationships/worksheet" Target="/xl/worksheets/sheet3.xml" Id="Rea57941bbc084589" /><Relationship Type="http://schemas.openxmlformats.org/officeDocument/2006/relationships/worksheet" Target="/xl/worksheets/sheet4.xml" Id="Ra424d03617c84142" /><Relationship Type="http://schemas.openxmlformats.org/officeDocument/2006/relationships/worksheet" Target="/xl/worksheets/sheet5.xml" Id="R7fc267a8023e436a" /><Relationship Type="http://schemas.openxmlformats.org/officeDocument/2006/relationships/worksheet" Target="/xl/worksheets/sheet6.xml" Id="R236ac6c573a04ac9" /><Relationship Type="http://schemas.openxmlformats.org/officeDocument/2006/relationships/worksheet" Target="/xl/worksheets/sheet7.xml" Id="R373dd54aa8a542ab" /><Relationship Type="http://schemas.openxmlformats.org/officeDocument/2006/relationships/worksheet" Target="/xl/worksheets/sheet8.xml" Id="R76122889fe724f3c" /><Relationship Type="http://schemas.openxmlformats.org/officeDocument/2006/relationships/worksheet" Target="/xl/worksheets/sheet9.xml" Id="R8899288318204e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ed8baa2f1874794" /><Relationship Type="http://schemas.openxmlformats.org/officeDocument/2006/relationships/image" Target="/xl/media/image2.png" Id="Rd59f58497059462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2592c5f391fd41cd" /><Relationship Type="http://schemas.openxmlformats.org/officeDocument/2006/relationships/image" Target="/xl/media/image4.png" Id="Rd0840249d47f45d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197a4699a7c14ea1" /><Relationship Type="http://schemas.openxmlformats.org/officeDocument/2006/relationships/image" Target="/xl/media/image6.png" Id="Raeda7b84392d4a10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91440</xdr:rowOff>
    </xdr:from>
    <xdr:to>
      <xdr:col>7</xdr:col>
      <xdr:colOff>10795</xdr:colOff>
      <xdr:row>1</xdr:row>
      <xdr:rowOff>126365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d8baa2f18747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2</xdr:col>
      <xdr:colOff>107205</xdr:colOff>
      <xdr:row>0</xdr:row>
      <xdr:rowOff>734695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9f5849705946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3496</xdr:colOff>
      <xdr:row>5</xdr:row>
      <xdr:rowOff>114908</xdr:rowOff>
    </xdr:from>
    <xdr:to>
      <xdr:col>6</xdr:col>
      <xdr:colOff>17516</xdr:colOff>
      <xdr:row>5</xdr:row>
      <xdr:rowOff>161925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2c5f391fd41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194392</xdr:colOff>
      <xdr:row>0</xdr:row>
      <xdr:rowOff>155511</xdr:rowOff>
    </xdr:from>
    <xdr:to>
      <xdr:col>2</xdr:col>
      <xdr:colOff>362220</xdr:colOff>
      <xdr:row>4</xdr:row>
      <xdr:rowOff>130629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40249d47f45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32657</xdr:colOff>
      <xdr:row>5</xdr:row>
      <xdr:rowOff>65314</xdr:rowOff>
    </xdr:from>
    <xdr:to>
      <xdr:col>6</xdr:col>
      <xdr:colOff>1381125</xdr:colOff>
      <xdr:row>5</xdr:row>
      <xdr:rowOff>124619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7a4699a7c14e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163286</xdr:colOff>
      <xdr:row>0</xdr:row>
      <xdr:rowOff>141515</xdr:rowOff>
    </xdr:from>
    <xdr:to>
      <xdr:col>2</xdr:col>
      <xdr:colOff>334807</xdr:colOff>
      <xdr:row>4</xdr:row>
      <xdr:rowOff>130629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da7b84392d4a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b04774bbed40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605a56df0b04e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2b13ffbc58b4a08" /></Relationships>
</file>

<file path=xl/worksheets/sheet1.xml><?xml version="1.0" encoding="utf-8"?>
<x:worksheet xmlns:x="http://schemas.openxmlformats.org/spreadsheetml/2006/main">
  <x:sheetFormatPr baseColWidth="10" defaultColWidth="11.42578125" defaultRowHeight="14.25"/>
  <x:cols>
    <x:col min="1" max="1" width="14.42578125" style="18" customWidth="1"/>
    <x:col min="2" max="2" width="12" style="16" customWidth="1"/>
    <x:col min="3" max="4" width="14.42578125" style="16" customWidth="1"/>
    <x:col min="5" max="5" width="17.42578125" style="16" customWidth="1"/>
    <x:col min="6" max="8" width="14.42578125" style="16" customWidth="1"/>
    <x:col min="9" max="256" width="11.42578125" style="16" customWidth="0"/>
    <x:col min="257" max="257" width="14.42578125" style="16" customWidth="1"/>
    <x:col min="258" max="258" width="12" style="16" customWidth="1"/>
    <x:col min="259" max="260" width="14.42578125" style="16" customWidth="1"/>
    <x:col min="261" max="261" width="17.42578125" style="16" customWidth="1"/>
    <x:col min="262" max="264" width="14.42578125" style="16" customWidth="1"/>
    <x:col min="265" max="512" width="11.42578125" style="16" customWidth="0"/>
    <x:col min="513" max="513" width="14.42578125" style="16" customWidth="1"/>
    <x:col min="514" max="514" width="12" style="16" customWidth="1"/>
    <x:col min="515" max="516" width="14.42578125" style="16" customWidth="1"/>
    <x:col min="517" max="517" width="17.42578125" style="16" customWidth="1"/>
    <x:col min="518" max="520" width="14.42578125" style="16" customWidth="1"/>
    <x:col min="521" max="768" width="11.42578125" style="16" customWidth="0"/>
    <x:col min="769" max="769" width="14.42578125" style="16" customWidth="1"/>
    <x:col min="770" max="770" width="12" style="16" customWidth="1"/>
    <x:col min="771" max="772" width="14.42578125" style="16" customWidth="1"/>
    <x:col min="773" max="773" width="17.42578125" style="16" customWidth="1"/>
    <x:col min="774" max="776" width="14.42578125" style="16" customWidth="1"/>
    <x:col min="777" max="1024" width="11.42578125" style="16" customWidth="0"/>
    <x:col min="1025" max="1025" width="14.42578125" style="16" customWidth="1"/>
    <x:col min="1026" max="1026" width="12" style="16" customWidth="1"/>
    <x:col min="1027" max="1028" width="14.42578125" style="16" customWidth="1"/>
    <x:col min="1029" max="1029" width="17.42578125" style="16" customWidth="1"/>
    <x:col min="1030" max="1032" width="14.42578125" style="16" customWidth="1"/>
    <x:col min="1033" max="1280" width="11.42578125" style="16" customWidth="0"/>
    <x:col min="1281" max="1281" width="14.42578125" style="16" customWidth="1"/>
    <x:col min="1282" max="1282" width="12" style="16" customWidth="1"/>
    <x:col min="1283" max="1284" width="14.42578125" style="16" customWidth="1"/>
    <x:col min="1285" max="1285" width="17.42578125" style="16" customWidth="1"/>
    <x:col min="1286" max="1288" width="14.42578125" style="16" customWidth="1"/>
    <x:col min="1289" max="1536" width="11.42578125" style="16" customWidth="0"/>
    <x:col min="1537" max="1537" width="14.42578125" style="16" customWidth="1"/>
    <x:col min="1538" max="1538" width="12" style="16" customWidth="1"/>
    <x:col min="1539" max="1540" width="14.42578125" style="16" customWidth="1"/>
    <x:col min="1541" max="1541" width="17.42578125" style="16" customWidth="1"/>
    <x:col min="1542" max="1544" width="14.42578125" style="16" customWidth="1"/>
    <x:col min="1545" max="1792" width="11.42578125" style="16" customWidth="0"/>
    <x:col min="1793" max="1793" width="14.42578125" style="16" customWidth="1"/>
    <x:col min="1794" max="1794" width="12" style="16" customWidth="1"/>
    <x:col min="1795" max="1796" width="14.42578125" style="16" customWidth="1"/>
    <x:col min="1797" max="1797" width="17.42578125" style="16" customWidth="1"/>
    <x:col min="1798" max="1800" width="14.42578125" style="16" customWidth="1"/>
    <x:col min="1801" max="2048" width="11.42578125" style="16" customWidth="0"/>
    <x:col min="2049" max="2049" width="14.42578125" style="16" customWidth="1"/>
    <x:col min="2050" max="2050" width="12" style="16" customWidth="1"/>
    <x:col min="2051" max="2052" width="14.42578125" style="16" customWidth="1"/>
    <x:col min="2053" max="2053" width="17.42578125" style="16" customWidth="1"/>
    <x:col min="2054" max="2056" width="14.42578125" style="16" customWidth="1"/>
    <x:col min="2057" max="2304" width="11.42578125" style="16" customWidth="0"/>
    <x:col min="2305" max="2305" width="14.42578125" style="16" customWidth="1"/>
    <x:col min="2306" max="2306" width="12" style="16" customWidth="1"/>
    <x:col min="2307" max="2308" width="14.42578125" style="16" customWidth="1"/>
    <x:col min="2309" max="2309" width="17.42578125" style="16" customWidth="1"/>
    <x:col min="2310" max="2312" width="14.42578125" style="16" customWidth="1"/>
    <x:col min="2313" max="2560" width="11.42578125" style="16" customWidth="0"/>
    <x:col min="2561" max="2561" width="14.42578125" style="16" customWidth="1"/>
    <x:col min="2562" max="2562" width="12" style="16" customWidth="1"/>
    <x:col min="2563" max="2564" width="14.42578125" style="16" customWidth="1"/>
    <x:col min="2565" max="2565" width="17.42578125" style="16" customWidth="1"/>
    <x:col min="2566" max="2568" width="14.42578125" style="16" customWidth="1"/>
    <x:col min="2569" max="2816" width="11.42578125" style="16" customWidth="0"/>
    <x:col min="2817" max="2817" width="14.42578125" style="16" customWidth="1"/>
    <x:col min="2818" max="2818" width="12" style="16" customWidth="1"/>
    <x:col min="2819" max="2820" width="14.42578125" style="16" customWidth="1"/>
    <x:col min="2821" max="2821" width="17.42578125" style="16" customWidth="1"/>
    <x:col min="2822" max="2824" width="14.42578125" style="16" customWidth="1"/>
    <x:col min="2825" max="3072" width="11.42578125" style="16" customWidth="0"/>
    <x:col min="3073" max="3073" width="14.42578125" style="16" customWidth="1"/>
    <x:col min="3074" max="3074" width="12" style="16" customWidth="1"/>
    <x:col min="3075" max="3076" width="14.42578125" style="16" customWidth="1"/>
    <x:col min="3077" max="3077" width="17.42578125" style="16" customWidth="1"/>
    <x:col min="3078" max="3080" width="14.42578125" style="16" customWidth="1"/>
    <x:col min="3081" max="3328" width="11.42578125" style="16" customWidth="0"/>
    <x:col min="3329" max="3329" width="14.42578125" style="16" customWidth="1"/>
    <x:col min="3330" max="3330" width="12" style="16" customWidth="1"/>
    <x:col min="3331" max="3332" width="14.42578125" style="16" customWidth="1"/>
    <x:col min="3333" max="3333" width="17.42578125" style="16" customWidth="1"/>
    <x:col min="3334" max="3336" width="14.42578125" style="16" customWidth="1"/>
    <x:col min="3337" max="3584" width="11.42578125" style="16" customWidth="0"/>
    <x:col min="3585" max="3585" width="14.42578125" style="16" customWidth="1"/>
    <x:col min="3586" max="3586" width="12" style="16" customWidth="1"/>
    <x:col min="3587" max="3588" width="14.42578125" style="16" customWidth="1"/>
    <x:col min="3589" max="3589" width="17.42578125" style="16" customWidth="1"/>
    <x:col min="3590" max="3592" width="14.42578125" style="16" customWidth="1"/>
    <x:col min="3593" max="3840" width="11.42578125" style="16" customWidth="0"/>
    <x:col min="3841" max="3841" width="14.42578125" style="16" customWidth="1"/>
    <x:col min="3842" max="3842" width="12" style="16" customWidth="1"/>
    <x:col min="3843" max="3844" width="14.42578125" style="16" customWidth="1"/>
    <x:col min="3845" max="3845" width="17.42578125" style="16" customWidth="1"/>
    <x:col min="3846" max="3848" width="14.42578125" style="16" customWidth="1"/>
    <x:col min="3849" max="4096" width="11.42578125" style="16" customWidth="0"/>
    <x:col min="4097" max="4097" width="14.42578125" style="16" customWidth="1"/>
    <x:col min="4098" max="4098" width="12" style="16" customWidth="1"/>
    <x:col min="4099" max="4100" width="14.42578125" style="16" customWidth="1"/>
    <x:col min="4101" max="4101" width="17.42578125" style="16" customWidth="1"/>
    <x:col min="4102" max="4104" width="14.42578125" style="16" customWidth="1"/>
    <x:col min="4105" max="4352" width="11.42578125" style="16" customWidth="0"/>
    <x:col min="4353" max="4353" width="14.42578125" style="16" customWidth="1"/>
    <x:col min="4354" max="4354" width="12" style="16" customWidth="1"/>
    <x:col min="4355" max="4356" width="14.42578125" style="16" customWidth="1"/>
    <x:col min="4357" max="4357" width="17.42578125" style="16" customWidth="1"/>
    <x:col min="4358" max="4360" width="14.42578125" style="16" customWidth="1"/>
    <x:col min="4361" max="4608" width="11.42578125" style="16" customWidth="0"/>
    <x:col min="4609" max="4609" width="14.42578125" style="16" customWidth="1"/>
    <x:col min="4610" max="4610" width="12" style="16" customWidth="1"/>
    <x:col min="4611" max="4612" width="14.42578125" style="16" customWidth="1"/>
    <x:col min="4613" max="4613" width="17.42578125" style="16" customWidth="1"/>
    <x:col min="4614" max="4616" width="14.42578125" style="16" customWidth="1"/>
    <x:col min="4617" max="4864" width="11.42578125" style="16" customWidth="0"/>
    <x:col min="4865" max="4865" width="14.42578125" style="16" customWidth="1"/>
    <x:col min="4866" max="4866" width="12" style="16" customWidth="1"/>
    <x:col min="4867" max="4868" width="14.42578125" style="16" customWidth="1"/>
    <x:col min="4869" max="4869" width="17.42578125" style="16" customWidth="1"/>
    <x:col min="4870" max="4872" width="14.42578125" style="16" customWidth="1"/>
    <x:col min="4873" max="5120" width="11.42578125" style="16" customWidth="0"/>
    <x:col min="5121" max="5121" width="14.42578125" style="16" customWidth="1"/>
    <x:col min="5122" max="5122" width="12" style="16" customWidth="1"/>
    <x:col min="5123" max="5124" width="14.42578125" style="16" customWidth="1"/>
    <x:col min="5125" max="5125" width="17.42578125" style="16" customWidth="1"/>
    <x:col min="5126" max="5128" width="14.42578125" style="16" customWidth="1"/>
    <x:col min="5129" max="5376" width="11.42578125" style="16" customWidth="0"/>
    <x:col min="5377" max="5377" width="14.42578125" style="16" customWidth="1"/>
    <x:col min="5378" max="5378" width="12" style="16" customWidth="1"/>
    <x:col min="5379" max="5380" width="14.42578125" style="16" customWidth="1"/>
    <x:col min="5381" max="5381" width="17.42578125" style="16" customWidth="1"/>
    <x:col min="5382" max="5384" width="14.42578125" style="16" customWidth="1"/>
    <x:col min="5385" max="5632" width="11.42578125" style="16" customWidth="0"/>
    <x:col min="5633" max="5633" width="14.42578125" style="16" customWidth="1"/>
    <x:col min="5634" max="5634" width="12" style="16" customWidth="1"/>
    <x:col min="5635" max="5636" width="14.42578125" style="16" customWidth="1"/>
    <x:col min="5637" max="5637" width="17.42578125" style="16" customWidth="1"/>
    <x:col min="5638" max="5640" width="14.42578125" style="16" customWidth="1"/>
    <x:col min="5641" max="5888" width="11.42578125" style="16" customWidth="0"/>
    <x:col min="5889" max="5889" width="14.42578125" style="16" customWidth="1"/>
    <x:col min="5890" max="5890" width="12" style="16" customWidth="1"/>
    <x:col min="5891" max="5892" width="14.42578125" style="16" customWidth="1"/>
    <x:col min="5893" max="5893" width="17.42578125" style="16" customWidth="1"/>
    <x:col min="5894" max="5896" width="14.42578125" style="16" customWidth="1"/>
    <x:col min="5897" max="6144" width="11.42578125" style="16" customWidth="0"/>
    <x:col min="6145" max="6145" width="14.42578125" style="16" customWidth="1"/>
    <x:col min="6146" max="6146" width="12" style="16" customWidth="1"/>
    <x:col min="6147" max="6148" width="14.42578125" style="16" customWidth="1"/>
    <x:col min="6149" max="6149" width="17.42578125" style="16" customWidth="1"/>
    <x:col min="6150" max="6152" width="14.42578125" style="16" customWidth="1"/>
    <x:col min="6153" max="6400" width="11.42578125" style="16" customWidth="0"/>
    <x:col min="6401" max="6401" width="14.42578125" style="16" customWidth="1"/>
    <x:col min="6402" max="6402" width="12" style="16" customWidth="1"/>
    <x:col min="6403" max="6404" width="14.42578125" style="16" customWidth="1"/>
    <x:col min="6405" max="6405" width="17.42578125" style="16" customWidth="1"/>
    <x:col min="6406" max="6408" width="14.42578125" style="16" customWidth="1"/>
    <x:col min="6409" max="6656" width="11.42578125" style="16" customWidth="0"/>
    <x:col min="6657" max="6657" width="14.42578125" style="16" customWidth="1"/>
    <x:col min="6658" max="6658" width="12" style="16" customWidth="1"/>
    <x:col min="6659" max="6660" width="14.42578125" style="16" customWidth="1"/>
    <x:col min="6661" max="6661" width="17.42578125" style="16" customWidth="1"/>
    <x:col min="6662" max="6664" width="14.42578125" style="16" customWidth="1"/>
    <x:col min="6665" max="6912" width="11.42578125" style="16" customWidth="0"/>
    <x:col min="6913" max="6913" width="14.42578125" style="16" customWidth="1"/>
    <x:col min="6914" max="6914" width="12" style="16" customWidth="1"/>
    <x:col min="6915" max="6916" width="14.42578125" style="16" customWidth="1"/>
    <x:col min="6917" max="6917" width="17.42578125" style="16" customWidth="1"/>
    <x:col min="6918" max="6920" width="14.42578125" style="16" customWidth="1"/>
    <x:col min="6921" max="7168" width="11.42578125" style="16" customWidth="0"/>
    <x:col min="7169" max="7169" width="14.42578125" style="16" customWidth="1"/>
    <x:col min="7170" max="7170" width="12" style="16" customWidth="1"/>
    <x:col min="7171" max="7172" width="14.42578125" style="16" customWidth="1"/>
    <x:col min="7173" max="7173" width="17.42578125" style="16" customWidth="1"/>
    <x:col min="7174" max="7176" width="14.42578125" style="16" customWidth="1"/>
    <x:col min="7177" max="7424" width="11.42578125" style="16" customWidth="0"/>
    <x:col min="7425" max="7425" width="14.42578125" style="16" customWidth="1"/>
    <x:col min="7426" max="7426" width="12" style="16" customWidth="1"/>
    <x:col min="7427" max="7428" width="14.42578125" style="16" customWidth="1"/>
    <x:col min="7429" max="7429" width="17.42578125" style="16" customWidth="1"/>
    <x:col min="7430" max="7432" width="14.42578125" style="16" customWidth="1"/>
    <x:col min="7433" max="7680" width="11.42578125" style="16" customWidth="0"/>
    <x:col min="7681" max="7681" width="14.42578125" style="16" customWidth="1"/>
    <x:col min="7682" max="7682" width="12" style="16" customWidth="1"/>
    <x:col min="7683" max="7684" width="14.42578125" style="16" customWidth="1"/>
    <x:col min="7685" max="7685" width="17.42578125" style="16" customWidth="1"/>
    <x:col min="7686" max="7688" width="14.42578125" style="16" customWidth="1"/>
    <x:col min="7689" max="7936" width="11.42578125" style="16" customWidth="0"/>
    <x:col min="7937" max="7937" width="14.42578125" style="16" customWidth="1"/>
    <x:col min="7938" max="7938" width="12" style="16" customWidth="1"/>
    <x:col min="7939" max="7940" width="14.42578125" style="16" customWidth="1"/>
    <x:col min="7941" max="7941" width="17.42578125" style="16" customWidth="1"/>
    <x:col min="7942" max="7944" width="14.42578125" style="16" customWidth="1"/>
    <x:col min="7945" max="8192" width="11.42578125" style="16" customWidth="0"/>
    <x:col min="8193" max="8193" width="14.42578125" style="16" customWidth="1"/>
    <x:col min="8194" max="8194" width="12" style="16" customWidth="1"/>
    <x:col min="8195" max="8196" width="14.42578125" style="16" customWidth="1"/>
    <x:col min="8197" max="8197" width="17.42578125" style="16" customWidth="1"/>
    <x:col min="8198" max="8200" width="14.42578125" style="16" customWidth="1"/>
    <x:col min="8201" max="8448" width="11.42578125" style="16" customWidth="0"/>
    <x:col min="8449" max="8449" width="14.42578125" style="16" customWidth="1"/>
    <x:col min="8450" max="8450" width="12" style="16" customWidth="1"/>
    <x:col min="8451" max="8452" width="14.42578125" style="16" customWidth="1"/>
    <x:col min="8453" max="8453" width="17.42578125" style="16" customWidth="1"/>
    <x:col min="8454" max="8456" width="14.42578125" style="16" customWidth="1"/>
    <x:col min="8457" max="8704" width="11.42578125" style="16" customWidth="0"/>
    <x:col min="8705" max="8705" width="14.42578125" style="16" customWidth="1"/>
    <x:col min="8706" max="8706" width="12" style="16" customWidth="1"/>
    <x:col min="8707" max="8708" width="14.42578125" style="16" customWidth="1"/>
    <x:col min="8709" max="8709" width="17.42578125" style="16" customWidth="1"/>
    <x:col min="8710" max="8712" width="14.42578125" style="16" customWidth="1"/>
    <x:col min="8713" max="8960" width="11.42578125" style="16" customWidth="0"/>
    <x:col min="8961" max="8961" width="14.42578125" style="16" customWidth="1"/>
    <x:col min="8962" max="8962" width="12" style="16" customWidth="1"/>
    <x:col min="8963" max="8964" width="14.42578125" style="16" customWidth="1"/>
    <x:col min="8965" max="8965" width="17.42578125" style="16" customWidth="1"/>
    <x:col min="8966" max="8968" width="14.42578125" style="16" customWidth="1"/>
    <x:col min="8969" max="9216" width="11.42578125" style="16" customWidth="0"/>
    <x:col min="9217" max="9217" width="14.42578125" style="16" customWidth="1"/>
    <x:col min="9218" max="9218" width="12" style="16" customWidth="1"/>
    <x:col min="9219" max="9220" width="14.42578125" style="16" customWidth="1"/>
    <x:col min="9221" max="9221" width="17.42578125" style="16" customWidth="1"/>
    <x:col min="9222" max="9224" width="14.42578125" style="16" customWidth="1"/>
    <x:col min="9225" max="9472" width="11.42578125" style="16" customWidth="0"/>
    <x:col min="9473" max="9473" width="14.42578125" style="16" customWidth="1"/>
    <x:col min="9474" max="9474" width="12" style="16" customWidth="1"/>
    <x:col min="9475" max="9476" width="14.42578125" style="16" customWidth="1"/>
    <x:col min="9477" max="9477" width="17.42578125" style="16" customWidth="1"/>
    <x:col min="9478" max="9480" width="14.42578125" style="16" customWidth="1"/>
    <x:col min="9481" max="9728" width="11.42578125" style="16" customWidth="0"/>
    <x:col min="9729" max="9729" width="14.42578125" style="16" customWidth="1"/>
    <x:col min="9730" max="9730" width="12" style="16" customWidth="1"/>
    <x:col min="9731" max="9732" width="14.42578125" style="16" customWidth="1"/>
    <x:col min="9733" max="9733" width="17.42578125" style="16" customWidth="1"/>
    <x:col min="9734" max="9736" width="14.42578125" style="16" customWidth="1"/>
    <x:col min="9737" max="9984" width="11.42578125" style="16" customWidth="0"/>
    <x:col min="9985" max="9985" width="14.42578125" style="16" customWidth="1"/>
    <x:col min="9986" max="9986" width="12" style="16" customWidth="1"/>
    <x:col min="9987" max="9988" width="14.42578125" style="16" customWidth="1"/>
    <x:col min="9989" max="9989" width="17.42578125" style="16" customWidth="1"/>
    <x:col min="9990" max="9992" width="14.42578125" style="16" customWidth="1"/>
    <x:col min="9993" max="10240" width="11.42578125" style="16" customWidth="0"/>
    <x:col min="10241" max="10241" width="14.42578125" style="16" customWidth="1"/>
    <x:col min="10242" max="10242" width="12" style="16" customWidth="1"/>
    <x:col min="10243" max="10244" width="14.42578125" style="16" customWidth="1"/>
    <x:col min="10245" max="10245" width="17.42578125" style="16" customWidth="1"/>
    <x:col min="10246" max="10248" width="14.42578125" style="16" customWidth="1"/>
    <x:col min="10249" max="10496" width="11.42578125" style="16" customWidth="0"/>
    <x:col min="10497" max="10497" width="14.42578125" style="16" customWidth="1"/>
    <x:col min="10498" max="10498" width="12" style="16" customWidth="1"/>
    <x:col min="10499" max="10500" width="14.42578125" style="16" customWidth="1"/>
    <x:col min="10501" max="10501" width="17.42578125" style="16" customWidth="1"/>
    <x:col min="10502" max="10504" width="14.42578125" style="16" customWidth="1"/>
    <x:col min="10505" max="10752" width="11.42578125" style="16" customWidth="0"/>
    <x:col min="10753" max="10753" width="14.42578125" style="16" customWidth="1"/>
    <x:col min="10754" max="10754" width="12" style="16" customWidth="1"/>
    <x:col min="10755" max="10756" width="14.42578125" style="16" customWidth="1"/>
    <x:col min="10757" max="10757" width="17.42578125" style="16" customWidth="1"/>
    <x:col min="10758" max="10760" width="14.42578125" style="16" customWidth="1"/>
    <x:col min="10761" max="11008" width="11.42578125" style="16" customWidth="0"/>
    <x:col min="11009" max="11009" width="14.42578125" style="16" customWidth="1"/>
    <x:col min="11010" max="11010" width="12" style="16" customWidth="1"/>
    <x:col min="11011" max="11012" width="14.42578125" style="16" customWidth="1"/>
    <x:col min="11013" max="11013" width="17.42578125" style="16" customWidth="1"/>
    <x:col min="11014" max="11016" width="14.42578125" style="16" customWidth="1"/>
    <x:col min="11017" max="11264" width="11.42578125" style="16" customWidth="0"/>
    <x:col min="11265" max="11265" width="14.42578125" style="16" customWidth="1"/>
    <x:col min="11266" max="11266" width="12" style="16" customWidth="1"/>
    <x:col min="11267" max="11268" width="14.42578125" style="16" customWidth="1"/>
    <x:col min="11269" max="11269" width="17.42578125" style="16" customWidth="1"/>
    <x:col min="11270" max="11272" width="14.42578125" style="16" customWidth="1"/>
    <x:col min="11273" max="11520" width="11.42578125" style="16" customWidth="0"/>
    <x:col min="11521" max="11521" width="14.42578125" style="16" customWidth="1"/>
    <x:col min="11522" max="11522" width="12" style="16" customWidth="1"/>
    <x:col min="11523" max="11524" width="14.42578125" style="16" customWidth="1"/>
    <x:col min="11525" max="11525" width="17.42578125" style="16" customWidth="1"/>
    <x:col min="11526" max="11528" width="14.42578125" style="16" customWidth="1"/>
    <x:col min="11529" max="11776" width="11.42578125" style="16" customWidth="0"/>
    <x:col min="11777" max="11777" width="14.42578125" style="16" customWidth="1"/>
    <x:col min="11778" max="11778" width="12" style="16" customWidth="1"/>
    <x:col min="11779" max="11780" width="14.42578125" style="16" customWidth="1"/>
    <x:col min="11781" max="11781" width="17.42578125" style="16" customWidth="1"/>
    <x:col min="11782" max="11784" width="14.42578125" style="16" customWidth="1"/>
    <x:col min="11785" max="12032" width="11.42578125" style="16" customWidth="0"/>
    <x:col min="12033" max="12033" width="14.42578125" style="16" customWidth="1"/>
    <x:col min="12034" max="12034" width="12" style="16" customWidth="1"/>
    <x:col min="12035" max="12036" width="14.42578125" style="16" customWidth="1"/>
    <x:col min="12037" max="12037" width="17.42578125" style="16" customWidth="1"/>
    <x:col min="12038" max="12040" width="14.42578125" style="16" customWidth="1"/>
    <x:col min="12041" max="12288" width="11.42578125" style="16" customWidth="0"/>
    <x:col min="12289" max="12289" width="14.42578125" style="16" customWidth="1"/>
    <x:col min="12290" max="12290" width="12" style="16" customWidth="1"/>
    <x:col min="12291" max="12292" width="14.42578125" style="16" customWidth="1"/>
    <x:col min="12293" max="12293" width="17.42578125" style="16" customWidth="1"/>
    <x:col min="12294" max="12296" width="14.42578125" style="16" customWidth="1"/>
    <x:col min="12297" max="12544" width="11.42578125" style="16" customWidth="0"/>
    <x:col min="12545" max="12545" width="14.42578125" style="16" customWidth="1"/>
    <x:col min="12546" max="12546" width="12" style="16" customWidth="1"/>
    <x:col min="12547" max="12548" width="14.42578125" style="16" customWidth="1"/>
    <x:col min="12549" max="12549" width="17.42578125" style="16" customWidth="1"/>
    <x:col min="12550" max="12552" width="14.42578125" style="16" customWidth="1"/>
    <x:col min="12553" max="12800" width="11.42578125" style="16" customWidth="0"/>
    <x:col min="12801" max="12801" width="14.42578125" style="16" customWidth="1"/>
    <x:col min="12802" max="12802" width="12" style="16" customWidth="1"/>
    <x:col min="12803" max="12804" width="14.42578125" style="16" customWidth="1"/>
    <x:col min="12805" max="12805" width="17.42578125" style="16" customWidth="1"/>
    <x:col min="12806" max="12808" width="14.42578125" style="16" customWidth="1"/>
    <x:col min="12809" max="13056" width="11.42578125" style="16" customWidth="0"/>
    <x:col min="13057" max="13057" width="14.42578125" style="16" customWidth="1"/>
    <x:col min="13058" max="13058" width="12" style="16" customWidth="1"/>
    <x:col min="13059" max="13060" width="14.42578125" style="16" customWidth="1"/>
    <x:col min="13061" max="13061" width="17.42578125" style="16" customWidth="1"/>
    <x:col min="13062" max="13064" width="14.42578125" style="16" customWidth="1"/>
    <x:col min="13065" max="13312" width="11.42578125" style="16" customWidth="0"/>
    <x:col min="13313" max="13313" width="14.42578125" style="16" customWidth="1"/>
    <x:col min="13314" max="13314" width="12" style="16" customWidth="1"/>
    <x:col min="13315" max="13316" width="14.42578125" style="16" customWidth="1"/>
    <x:col min="13317" max="13317" width="17.42578125" style="16" customWidth="1"/>
    <x:col min="13318" max="13320" width="14.42578125" style="16" customWidth="1"/>
    <x:col min="13321" max="13568" width="11.42578125" style="16" customWidth="0"/>
    <x:col min="13569" max="13569" width="14.42578125" style="16" customWidth="1"/>
    <x:col min="13570" max="13570" width="12" style="16" customWidth="1"/>
    <x:col min="13571" max="13572" width="14.42578125" style="16" customWidth="1"/>
    <x:col min="13573" max="13573" width="17.42578125" style="16" customWidth="1"/>
    <x:col min="13574" max="13576" width="14.42578125" style="16" customWidth="1"/>
    <x:col min="13577" max="13824" width="11.42578125" style="16" customWidth="0"/>
    <x:col min="13825" max="13825" width="14.42578125" style="16" customWidth="1"/>
    <x:col min="13826" max="13826" width="12" style="16" customWidth="1"/>
    <x:col min="13827" max="13828" width="14.42578125" style="16" customWidth="1"/>
    <x:col min="13829" max="13829" width="17.42578125" style="16" customWidth="1"/>
    <x:col min="13830" max="13832" width="14.42578125" style="16" customWidth="1"/>
    <x:col min="13833" max="14080" width="11.42578125" style="16" customWidth="0"/>
    <x:col min="14081" max="14081" width="14.42578125" style="16" customWidth="1"/>
    <x:col min="14082" max="14082" width="12" style="16" customWidth="1"/>
    <x:col min="14083" max="14084" width="14.42578125" style="16" customWidth="1"/>
    <x:col min="14085" max="14085" width="17.42578125" style="16" customWidth="1"/>
    <x:col min="14086" max="14088" width="14.42578125" style="16" customWidth="1"/>
    <x:col min="14089" max="14336" width="11.42578125" style="16" customWidth="0"/>
    <x:col min="14337" max="14337" width="14.42578125" style="16" customWidth="1"/>
    <x:col min="14338" max="14338" width="12" style="16" customWidth="1"/>
    <x:col min="14339" max="14340" width="14.42578125" style="16" customWidth="1"/>
    <x:col min="14341" max="14341" width="17.42578125" style="16" customWidth="1"/>
    <x:col min="14342" max="14344" width="14.42578125" style="16" customWidth="1"/>
    <x:col min="14345" max="14592" width="11.42578125" style="16" customWidth="0"/>
    <x:col min="14593" max="14593" width="14.42578125" style="16" customWidth="1"/>
    <x:col min="14594" max="14594" width="12" style="16" customWidth="1"/>
    <x:col min="14595" max="14596" width="14.42578125" style="16" customWidth="1"/>
    <x:col min="14597" max="14597" width="17.42578125" style="16" customWidth="1"/>
    <x:col min="14598" max="14600" width="14.42578125" style="16" customWidth="1"/>
    <x:col min="14601" max="14848" width="11.42578125" style="16" customWidth="0"/>
    <x:col min="14849" max="14849" width="14.42578125" style="16" customWidth="1"/>
    <x:col min="14850" max="14850" width="12" style="16" customWidth="1"/>
    <x:col min="14851" max="14852" width="14.42578125" style="16" customWidth="1"/>
    <x:col min="14853" max="14853" width="17.42578125" style="16" customWidth="1"/>
    <x:col min="14854" max="14856" width="14.42578125" style="16" customWidth="1"/>
    <x:col min="14857" max="15104" width="11.42578125" style="16" customWidth="0"/>
    <x:col min="15105" max="15105" width="14.42578125" style="16" customWidth="1"/>
    <x:col min="15106" max="15106" width="12" style="16" customWidth="1"/>
    <x:col min="15107" max="15108" width="14.42578125" style="16" customWidth="1"/>
    <x:col min="15109" max="15109" width="17.42578125" style="16" customWidth="1"/>
    <x:col min="15110" max="15112" width="14.42578125" style="16" customWidth="1"/>
    <x:col min="15113" max="15360" width="11.42578125" style="16" customWidth="0"/>
    <x:col min="15361" max="15361" width="14.42578125" style="16" customWidth="1"/>
    <x:col min="15362" max="15362" width="12" style="16" customWidth="1"/>
    <x:col min="15363" max="15364" width="14.42578125" style="16" customWidth="1"/>
    <x:col min="15365" max="15365" width="17.42578125" style="16" customWidth="1"/>
    <x:col min="15366" max="15368" width="14.42578125" style="16" customWidth="1"/>
    <x:col min="15369" max="15616" width="11.42578125" style="16" customWidth="0"/>
    <x:col min="15617" max="15617" width="14.42578125" style="16" customWidth="1"/>
    <x:col min="15618" max="15618" width="12" style="16" customWidth="1"/>
    <x:col min="15619" max="15620" width="14.42578125" style="16" customWidth="1"/>
    <x:col min="15621" max="15621" width="17.42578125" style="16" customWidth="1"/>
    <x:col min="15622" max="15624" width="14.42578125" style="16" customWidth="1"/>
    <x:col min="15625" max="15872" width="11.42578125" style="16" customWidth="0"/>
    <x:col min="15873" max="15873" width="14.42578125" style="16" customWidth="1"/>
    <x:col min="15874" max="15874" width="12" style="16" customWidth="1"/>
    <x:col min="15875" max="15876" width="14.42578125" style="16" customWidth="1"/>
    <x:col min="15877" max="15877" width="17.42578125" style="16" customWidth="1"/>
    <x:col min="15878" max="15880" width="14.42578125" style="16" customWidth="1"/>
    <x:col min="15881" max="16128" width="11.42578125" style="16" customWidth="0"/>
    <x:col min="16129" max="16129" width="14.42578125" style="16" customWidth="1"/>
    <x:col min="16130" max="16130" width="12" style="16" customWidth="1"/>
    <x:col min="16131" max="16132" width="14.42578125" style="16" customWidth="1"/>
    <x:col min="16133" max="16133" width="17.42578125" style="16" customWidth="1"/>
    <x:col min="16134" max="16136" width="14.42578125" style="16" customWidth="1"/>
    <x:col min="16137" max="16384" width="11.42578125" style="16" customWidth="0"/>
  </x:cols>
  <x:sheetData>
    <x:row r="1" ht="60" customHeight="1">
      <x:c r="B1" s="18"/>
      <x:c r="C1" s="18"/>
      <x:c r="D1" s="18"/>
      <x:c r="E1" s="18"/>
      <x:c r="F1" s="18"/>
      <x:c r="G1" s="18"/>
    </x:row>
    <x:row r="2" ht="15" customHeight="1">
      <x:c r="A2" s="89"/>
      <x:c r="B2" s="89"/>
      <x:c r="C2" s="89"/>
      <x:c r="D2" s="89"/>
      <x:c r="E2" s="89"/>
      <x:c r="F2" s="89"/>
      <x:c r="G2" s="89"/>
    </x:row>
    <x:row r="3" ht="21.75" customHeight="1">
      <x:c r="A3" s="111" t="s">
        <x:v>0</x:v>
      </x:c>
      <x:c r="B3" s="111"/>
      <x:c r="C3" s="111"/>
      <x:c r="D3" s="111"/>
      <x:c r="E3" s="111"/>
      <x:c r="F3" s="111"/>
      <x:c r="G3" s="111"/>
    </x:row>
    <x:row r="4" ht="12" customHeight="1">
      <x:c r="A4" s="112"/>
      <x:c r="B4" s="112"/>
      <x:c r="C4" s="112"/>
      <x:c r="D4" s="112"/>
      <x:c r="E4" s="112"/>
      <x:c r="F4" s="112"/>
      <x:c r="G4" s="112"/>
    </x:row>
    <x:row r="5" ht="15.949999809265137" customHeight="1">
      <x:c r="A5" s="90"/>
      <x:c r="B5" s="90"/>
      <x:c r="C5" s="90"/>
      <x:c r="D5" s="90"/>
      <x:c r="E5" s="90"/>
      <x:c r="F5" s="90"/>
      <x:c r="G5" s="91"/>
    </x:row>
    <x:row r="6" ht="32.45000076293945" customHeight="1">
      <x:c r="A6" s="113" t="s">
        <x:v>1</x:v>
      </x:c>
      <x:c r="B6" s="114"/>
      <x:c r="C6" s="114"/>
      <x:c r="D6" s="114"/>
      <x:c r="E6" s="114"/>
      <x:c r="F6" s="114"/>
      <x:c r="G6" s="115"/>
    </x:row>
    <x:row r="7" ht="15.949999809265137" customHeight="1">
      <x:c r="A7" s="51"/>
      <x:c r="B7" s="52"/>
      <x:c r="C7" s="52"/>
      <x:c r="D7" s="52"/>
      <x:c r="E7" s="52"/>
      <x:c r="F7" s="52"/>
      <x:c r="G7" s="53"/>
    </x:row>
    <x:row r="8" s="17" customFormat="1" ht="27" customHeight="1">
      <x:c r="A8" s="63" t="s">
        <x:v>2</x:v>
      </x:c>
      <x:c r="B8" s="92" t="s">
        <x:v>3</x:v>
      </x:c>
      <x:c r="C8" s="93" t="s">
        <x:v>4</x:v>
      </x:c>
      <x:c r="D8" s="93"/>
      <x:c r="E8" s="93"/>
      <x:c r="F8" s="93"/>
      <x:c r="G8" s="94"/>
    </x:row>
    <x:row r="9" s="17" customFormat="1" ht="27" customHeight="1">
      <x:c r="A9" s="63" t="s">
        <x:v>5</x:v>
      </x:c>
      <x:c r="B9" s="95" t="s">
        <x:v>6</x:v>
      </x:c>
      <x:c r="C9" s="93" t="s">
        <x:v>7</x:v>
      </x:c>
      <x:c r="D9" s="93"/>
      <x:c r="E9" s="93"/>
      <x:c r="F9" s="93"/>
      <x:c r="G9" s="94"/>
    </x:row>
    <x:row r="10">
      <x:c r="A10" s="64"/>
      <x:c r="B10" s="96"/>
      <x:c r="C10" s="96"/>
      <x:c r="D10" s="96"/>
      <x:c r="E10" s="96"/>
      <x:c r="F10" s="96"/>
      <x:c r="G10" s="97"/>
    </x:row>
    <x:row r="11">
      <x:c r="A11" s="39" t="s">
        <x:v>8</x:v>
      </x:c>
    </x:row>
  </x:sheetData>
  <x:mergeCells>
    <x:mergeCell ref="A3:G4"/>
    <x:mergeCell ref="A6:G6"/>
  </x:mergeCells>
  <x:hyperlinks>
    <x:hyperlink ref="B8" location="'Cuadro 1'!A1"/>
    <x:hyperlink ref="B9" location="'Cuadro 2'!A1"/>
  </x:hyperlinks>
  <x:pageMargins left="0.7" right="0.7" top="0.75" bottom="0.75" header="0.3" footer="0.3"/>
  <x:drawing xmlns:r="http://schemas.openxmlformats.org/officeDocument/2006/relationships" r:id="R0db04774bbed40dd"/>
</x:worksheet>
</file>

<file path=xl/worksheets/sheet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31" style="1" customWidth="1"/>
    <x:col min="4" max="4" width="32" style="2" customWidth="1"/>
    <x:col min="5" max="5" width="26.42578125" style="2" customWidth="1"/>
    <x:col min="6" max="6" width="30.5703125" style="2" customWidth="1"/>
    <x:col min="7" max="16384" width="11.42578125" style="10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</x:row>
    <x:row r="2" s="3" customFormat="1" ht="14.25" customHeight="1">
      <x:c r="A2" s="1"/>
      <x:c r="B2" s="1"/>
      <x:c r="C2" s="1"/>
      <x:c r="D2" s="2"/>
      <x:c r="E2" s="4"/>
      <x:c r="F2" s="4"/>
      <x:c r="G2" s="4"/>
    </x:row>
    <x:row r="3" s="3" customFormat="1" ht="14.25" customHeight="1">
      <x:c r="A3" s="1"/>
      <x:c r="B3" s="1"/>
      <x:c r="C3" s="1"/>
      <x:c r="D3" s="2"/>
      <x:c r="E3" s="4"/>
      <x:c r="F3" s="4"/>
      <x:c r="G3" s="4"/>
    </x:row>
    <x:row r="4" s="3" customFormat="1" ht="14.25" customHeight="1">
      <x:c r="A4" s="1"/>
      <x:c r="B4" s="1"/>
      <x:c r="C4" s="1"/>
      <x:c r="D4" s="2"/>
      <x:c r="E4" s="4"/>
      <x:c r="F4" s="4"/>
      <x:c r="G4" s="4"/>
    </x:row>
    <x:row r="5" s="3" customFormat="1" ht="14.25" customHeight="1">
      <x:c r="A5" s="1"/>
      <x:c r="B5" s="1"/>
      <x:c r="C5" s="1"/>
      <x:c r="D5" s="2"/>
      <x:c r="E5" s="4"/>
      <x:c r="G5" s="19" t="s">
        <x:v>9</x:v>
      </x:c>
    </x:row>
    <x:row r="6" s="3" customFormat="1" ht="15" customHeight="1">
      <x:c r="A6" s="5"/>
      <x:c r="B6" s="1"/>
      <x:c r="C6" s="1"/>
      <x:c r="D6" s="2"/>
      <x:c r="E6" s="2"/>
      <x:c r="F6" s="2"/>
      <x:c r="G6" s="65"/>
    </x:row>
    <x:row r="7" s="3" customFormat="1" ht="34.5" customHeight="1">
      <x:c r="A7" s="119" t="s">
        <x:v>10</x:v>
      </x:c>
      <x:c r="B7" s="120"/>
      <x:c r="C7" s="120"/>
      <x:c r="D7" s="120"/>
      <x:c r="E7" s="120"/>
      <x:c r="F7" s="120"/>
    </x:row>
    <x:row r="8" s="3" customFormat="1" ht="15.600000381469727" customHeight="1">
      <x:c r="A8" s="42" t="s">
        <x:v>11</x:v>
      </x:c>
      <x:c r="B8" s="46"/>
      <x:c r="C8" s="46"/>
      <x:c r="D8" s="46"/>
      <x:c r="E8" s="46"/>
      <x:c r="F8" s="43"/>
    </x:row>
    <x:row r="9" s="3" customFormat="1" ht="15.600000381469727" customHeight="1">
      <x:c r="A9" s="42" t="s">
        <x:v>12</x:v>
      </x:c>
      <x:c r="B9" s="46"/>
      <x:c r="C9" s="46"/>
      <x:c r="D9" s="46"/>
      <x:c r="E9" s="46"/>
      <x:c r="F9" s="43"/>
    </x:row>
    <x:row r="10" s="3" customFormat="1" ht="15.600000381469727" customHeight="1">
      <x:c r="A10" s="42" t="s">
        <x:v>13</x:v>
      </x:c>
      <x:c r="B10" s="47"/>
      <x:c r="C10" s="47"/>
      <x:c r="D10" s="47"/>
      <x:c r="E10" s="47"/>
      <x:c r="F10" s="44"/>
    </x:row>
    <x:row r="11" s="3" customFormat="1" ht="15.600000381469727" customHeight="1">
      <x:c r="A11" s="45" t="s">
        <x:v>14</x:v>
      </x:c>
      <x:c r="B11" s="66"/>
      <x:c r="C11" s="66"/>
      <x:c r="D11" s="66"/>
      <x:c r="E11" s="66"/>
      <x:c r="F11" s="67"/>
    </x:row>
    <x:row r="12" s="3" customFormat="1" ht="14.25" customHeight="1">
      <x:c r="A12" s="6"/>
      <x:c r="B12" s="7"/>
      <x:c r="C12" s="7"/>
      <x:c r="D12" s="8"/>
      <x:c r="E12" s="8"/>
      <x:c r="F12" s="8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</x:row>
    <x:row r="13" s="3" customFormat="1" ht="57.75" customHeight="1">
      <x:c r="A13" s="57"/>
      <x:c r="B13" s="58" t="s">
        <x:v>15</x:v>
      </x:c>
      <x:c r="C13" s="59" t="s">
        <x:v>16</x:v>
      </x:c>
      <x:c r="D13" s="59" t="s">
        <x:v>17</x:v>
      </x:c>
      <x:c r="E13" s="59" t="s">
        <x:v>18</x:v>
      </x:c>
      <x:c r="F13" s="60" t="s">
        <x:v>19</x:v>
      </x:c>
      <x:c r="G13" s="1"/>
    </x:row>
    <x:row r="14" s="3" customFormat="1" ht="14.25">
      <x:c r="A14" s="61"/>
      <x:c r="B14" s="62"/>
      <x:c r="C14" s="62" t="s">
        <x:v>20</x:v>
      </x:c>
      <x:c r="D14" s="123" t="s">
        <x:v>21</x:v>
      </x:c>
      <x:c r="E14" s="123"/>
      <x:c r="F14" s="124"/>
      <x:c r="G14" s="1"/>
    </x:row>
    <x:row r="15" s="3" customFormat="1" ht="31.5" customHeight="1">
      <x:c r="A15" s="20"/>
      <x:c r="B15" s="22">
        <x:v>2005</x:v>
      </x:c>
      <x:c r="C15" s="31">
        <x:v>0.53961339587407076</x:v>
      </x:c>
      <x:c r="D15" s="23">
        <x:v>-0.31998264255664721</x:v>
      </x:c>
      <x:c r="E15" s="23">
        <x:v>0.75211300763912869</x:v>
      </x:c>
      <x:c r="F15" s="29">
        <x:v>0.1074830307915893</x:v>
      </x:c>
      <x:c r="G15" s="32"/>
    </x:row>
    <x:row r="16" s="3" customFormat="1" ht="31.5" customHeight="1">
      <x:c r="A16" s="28"/>
      <x:c r="B16" s="24">
        <x:v>2006</x:v>
      </x:c>
      <x:c r="C16" s="30">
        <x:v>6.7911900688959133</x:v>
      </x:c>
      <x:c r="D16" s="25">
        <x:v>4.230771160217258</x:v>
      </x:c>
      <x:c r="E16" s="25">
        <x:v>0.29290501610682262</x:v>
      </x:c>
      <x:c r="F16" s="26">
        <x:v>2.267513892571833</x:v>
      </x:c>
      <x:c r="G16" s="32"/>
    </x:row>
    <x:row r="17" s="3" customFormat="1" ht="31.5" customHeight="1">
      <x:c r="A17" s="20"/>
      <x:c r="B17" s="22">
        <x:v>2007</x:v>
      </x:c>
      <x:c r="C17" s="31">
        <x:v>-2.7666529168516991</x:v>
      </x:c>
      <x:c r="D17" s="23">
        <x:v>-2.6821777797356519</x:v>
      </x:c>
      <x:c r="E17" s="23">
        <x:v>0.73380665330388617</x:v>
      </x:c>
      <x:c r="F17" s="29">
        <x:v>-0.81828179041993343</x:v>
      </x:c>
      <x:c r="G17" s="32"/>
    </x:row>
    <x:row r="18" s="3" customFormat="1" ht="31.5" customHeight="1">
      <x:c r="A18" s="28"/>
      <x:c r="B18" s="24">
        <x:v>2008</x:v>
      </x:c>
      <x:c r="C18" s="30">
        <x:v>-0.13200564102294629</x:v>
      </x:c>
      <x:c r="D18" s="25">
        <x:v>-1.654100906303738</x:v>
      </x:c>
      <x:c r="E18" s="25">
        <x:v>0.652326300804</x:v>
      </x:c>
      <x:c r="F18" s="26">
        <x:v>0.86976896447679175</x:v>
      </x:c>
      <x:c r="G18" s="32"/>
    </x:row>
    <x:row r="19" s="3" customFormat="1" ht="31.5" customHeight="1">
      <x:c r="A19" s="20"/>
      <x:c r="B19" s="22">
        <x:v>2009</x:v>
      </x:c>
      <x:c r="C19" s="31">
        <x:v>-0.25217579903630188</x:v>
      </x:c>
      <x:c r="D19" s="23">
        <x:v>-1.0518326063287811</x:v>
      </x:c>
      <x:c r="E19" s="23">
        <x:v>-1.1651025076502231</x:v>
      </x:c>
      <x:c r="F19" s="29">
        <x:v>1.9647593149427021</x:v>
      </x:c>
      <x:c r="G19" s="32"/>
    </x:row>
    <x:row r="20" s="3" customFormat="1" ht="31.5" customHeight="1">
      <x:c r="A20" s="28"/>
      <x:c r="B20" s="24">
        <x:v>2010</x:v>
      </x:c>
      <x:c r="C20" s="30">
        <x:v>-1.384113973571452</x:v>
      </x:c>
      <x:c r="D20" s="25">
        <x:v>-1.7027617962604069</x:v>
      </x:c>
      <x:c r="E20" s="25">
        <x:v>0.8352630925092378</x:v>
      </x:c>
      <x:c r="F20" s="26">
        <x:v>-0.51661526982028338</x:v>
      </x:c>
      <x:c r="G20" s="32"/>
    </x:row>
    <x:row r="21" s="3" customFormat="1" ht="31.5" customHeight="1">
      <x:c r="A21" s="20"/>
      <x:c r="B21" s="22">
        <x:v>2011</x:v>
      </x:c>
      <x:c r="C21" s="31">
        <x:v>1.189718340787342</x:v>
      </x:c>
      <x:c r="D21" s="23">
        <x:v>0.4646006442882184</x:v>
      </x:c>
      <x:c r="E21" s="23">
        <x:v>0.38563607877606038</x:v>
      </x:c>
      <x:c r="F21" s="29">
        <x:v>0.33948161772306268</x:v>
      </x:c>
      <x:c r="G21" s="32"/>
    </x:row>
    <x:row r="22" s="3" customFormat="1" ht="31.5" customHeight="1">
      <x:c r="A22" s="28"/>
      <x:c r="B22" s="24">
        <x:v>2012</x:v>
      </x:c>
      <x:c r="C22" s="30">
        <x:v>1.9522067317003571</x:v>
      </x:c>
      <x:c r="D22" s="25">
        <x:v>-0.45092222003172477</x:v>
      </x:c>
      <x:c r="E22" s="25">
        <x:v>-0.20665556743923791</x:v>
      </x:c>
      <x:c r="F22" s="26">
        <x:v>2.6097845191713192</x:v>
      </x:c>
      <x:c r="G22" s="32"/>
    </x:row>
    <x:row r="23" s="3" customFormat="1" ht="31.5" customHeight="1">
      <x:c r="A23" s="20"/>
      <x:c r="B23" s="22">
        <x:v>2013</x:v>
      </x:c>
      <x:c r="C23" s="31">
        <x:v>4.8815343728739302</x:v>
      </x:c>
      <x:c r="D23" s="23">
        <x:v>0.46016962672036388</x:v>
      </x:c>
      <x:c r="E23" s="23">
        <x:v>1.2198840550568719</x:v>
      </x:c>
      <x:c r="F23" s="29">
        <x:v>3.2014806910966942</x:v>
      </x:c>
      <x:c r="G23" s="32"/>
    </x:row>
    <x:row r="24" s="3" customFormat="1" ht="31.5" customHeight="1">
      <x:c r="A24" s="28"/>
      <x:c r="B24" s="24">
        <x:v>2014</x:v>
      </x:c>
      <x:c r="C24" s="30">
        <x:v>0.8242919092088079</x:v>
      </x:c>
      <x:c r="D24" s="25">
        <x:v>-1.41434685136183</x:v>
      </x:c>
      <x:c r="E24" s="25">
        <x:v>0.7015086207427883</x:v>
      </x:c>
      <x:c r="F24" s="26">
        <x:v>1.5371301398278501</x:v>
      </x:c>
      <x:c r="G24" s="32"/>
    </x:row>
    <x:row r="25" s="3" customFormat="1" ht="36" customHeight="1">
      <x:c r="A25" s="20"/>
      <x:c r="B25" s="22">
        <x:v>2015</x:v>
      </x:c>
      <x:c r="C25" s="31">
        <x:v>1.4146675859465609</x:v>
      </x:c>
      <x:c r="D25" s="23">
        <x:v>0.77227818760513434</x:v>
      </x:c>
      <x:c r="E25" s="23">
        <x:v>-0.57250269719094349</x:v>
      </x:c>
      <x:c r="F25" s="29">
        <x:v>1.2148920955323701</x:v>
      </x:c>
      <x:c r="G25" s="32"/>
    </x:row>
    <x:row r="26" s="3" customFormat="1" ht="36" customHeight="1">
      <x:c r="A26" s="21"/>
      <x:c r="B26" s="24">
        <x:v>2016</x:v>
      </x:c>
      <x:c r="C26" s="30">
        <x:v>0.1099439703068625</x:v>
      </x:c>
      <x:c r="D26" s="25">
        <x:v>-1.1600882680448881</x:v>
      </x:c>
      <x:c r="E26" s="25">
        <x:v>0.25669209581110608</x:v>
      </x:c>
      <x:c r="F26" s="26">
        <x:v>1.013340142540645</x:v>
      </x:c>
      <x:c r="G26" s="32"/>
    </x:row>
    <x:row r="27" s="3" customFormat="1" ht="36" customHeight="1">
      <x:c r="A27" s="20"/>
      <x:c r="B27" s="22">
        <x:v>2017</x:v>
      </x:c>
      <x:c r="C27" s="31">
        <x:v>1.499264607510143</x:v>
      </x:c>
      <x:c r="D27" s="23">
        <x:v>0.19381014628942861</x:v>
      </x:c>
      <x:c r="E27" s="23">
        <x:v>-0.14937220973983981</x:v>
      </x:c>
      <x:c r="F27" s="29">
        <x:v>1.454826670960554</x:v>
      </x:c>
      <x:c r="G27" s="32"/>
    </x:row>
    <x:row r="28" s="3" customFormat="1" ht="36" customHeight="1">
      <x:c r="A28" s="21"/>
      <x:c r="B28" s="24">
        <x:v>2018</x:v>
      </x:c>
      <x:c r="C28" s="30">
        <x:v>1.304344007577052</x:v>
      </x:c>
      <x:c r="D28" s="25">
        <x:v>0.2351137663286853</x:v>
      </x:c>
      <x:c r="E28" s="25">
        <x:v>0.54006422168620383</x:v>
      </x:c>
      <x:c r="F28" s="26">
        <x:v>0.52916601956216291</x:v>
      </x:c>
      <x:c r="G28" s="32"/>
    </x:row>
    <x:row r="29" s="3" customFormat="1" ht="36" customHeight="1">
      <x:c r="A29" s="20"/>
      <x:c r="B29" s="22">
        <x:v>2019</x:v>
      </x:c>
      <x:c r="C29" s="31">
        <x:v>1.651389076793403</x:v>
      </x:c>
      <x:c r="D29" s="23">
        <x:v>0.2294517232210479</x:v>
      </x:c>
      <x:c r="E29" s="23">
        <x:v>0.43985530859934929</x:v>
      </x:c>
      <x:c r="F29" s="29">
        <x:v>0.98208204497300544</x:v>
      </x:c>
      <x:c r="G29" s="32"/>
    </x:row>
    <x:row r="30" s="3" customFormat="1" ht="36" customHeight="1">
      <x:c r="A30" s="21"/>
      <x:c r="B30" s="24">
        <x:v>2020</x:v>
      </x:c>
      <x:c r="C30" s="30">
        <x:v>4.7713156617215908</x:v>
      </x:c>
      <x:c r="D30" s="25">
        <x:v>-1.5029143130252329</x:v>
      </x:c>
      <x:c r="E30" s="25">
        <x:v>2.212016808767221</x:v>
      </x:c>
      <x:c r="F30" s="26">
        <x:v>4.0622131659796032</x:v>
      </x:c>
      <x:c r="G30" s="32"/>
    </x:row>
    <x:row r="31" s="3" customFormat="1" ht="36" customHeight="1">
      <x:c r="A31" s="37"/>
      <x:c r="B31" s="38">
        <x:v>2021</x:v>
      </x:c>
      <x:c r="C31" s="48">
        <x:v>-2.110878653055491</x:v>
      </x:c>
      <x:c r="D31" s="49">
        <x:v>1.2977314173282499</x:v>
      </x:c>
      <x:c r="E31" s="49">
        <x:v>0.60593929745073749</x:v>
      </x:c>
      <x:c r="F31" s="50">
        <x:v>-4.0145493678344781</x:v>
      </x:c>
      <x:c r="G31" s="32"/>
    </x:row>
    <x:row r="32" s="3" customFormat="1" ht="36" customHeight="1">
      <x:c r="A32" s="21"/>
      <x:c r="B32" s="24">
        <x:v>2022</x:v>
      </x:c>
      <x:c r="C32" s="30">
        <x:v>-0.2840625235677649</x:v>
      </x:c>
      <x:c r="D32" s="25">
        <x:v>0.15530179291377891</x:v>
      </x:c>
      <x:c r="E32" s="25">
        <x:v>0.174817576230164</x:v>
      </x:c>
      <x:c r="F32" s="26">
        <x:v>-0.61418189271170787</x:v>
      </x:c>
      <x:c r="G32" s="32"/>
    </x:row>
    <x:row r="33" s="3" customFormat="1" ht="36" customHeight="1">
      <x:c r="A33" s="20"/>
      <x:c r="B33" s="22">
        <x:v>2023</x:v>
      </x:c>
      <x:c r="C33" s="31">
        <x:v>-1.1019531240522491</x:v>
      </x:c>
      <x:c r="D33" s="23">
        <x:v>-0.92342077132738876</x:v>
      </x:c>
      <x:c r="E33" s="23">
        <x:v>0.2336273635621591</x:v>
      </x:c>
      <x:c r="F33" s="29">
        <x:v>-0.4121597162870192</x:v>
      </x:c>
      <x:c r="G33" s="32"/>
    </x:row>
    <x:row r="34" s="3" customFormat="1" ht="36" customHeight="1">
      <x:c r="A34" s="21"/>
      <x:c r="B34" s="24" t="s">
        <x:v>22</x:v>
      </x:c>
      <x:c r="C34" s="30">
        <x:v>2.22576434150705</x:v>
      </x:c>
      <x:c r="D34" s="25">
        <x:v>1.2059981403646689</x:v>
      </x:c>
      <x:c r="E34" s="25">
        <x:v>-6.8302838081286824E-3</x:v>
      </x:c>
      <x:c r="F34" s="26">
        <x:v>1.02659648495051</x:v>
      </x:c>
      <x:c r="G34" s="32"/>
    </x:row>
    <x:row r="35" s="3" customFormat="1" ht="36" customHeight="1">
      <x:c r="A35" s="68"/>
      <x:c r="B35" s="69" t="s">
        <x:v>23</x:v>
      </x:c>
      <x:c r="C35" s="70">
        <x:v>0.40273165079898282</x:v>
      </x:c>
      <x:c r="D35" s="71">
        <x:v>0.75366940811146166</x:v>
      </x:c>
      <x:c r="E35" s="71">
        <x:v>-0.17176941099085921</x:v>
      </x:c>
      <x:c r="F35" s="72">
        <x:v>-0.17916834632161971</x:v>
      </x:c>
      <x:c r="G35" s="32"/>
    </x:row>
    <x:row r="36" s="3" customFormat="1" ht="14.25">
      <x:c r="A36" s="40"/>
      <x:c r="B36" s="35"/>
      <x:c r="C36" s="12"/>
      <x:c r="D36" s="13"/>
      <x:c r="E36" s="13"/>
      <x:c r="F36" s="41"/>
    </x:row>
    <x:row r="37" s="3" customFormat="1" ht="14.25">
      <x:c r="A37" s="98" t="s">
        <x:v>24</x:v>
      </x:c>
      <x:c r="B37" s="99"/>
      <x:c r="C37" s="100"/>
      <x:c r="D37" s="101"/>
      <x:c r="E37" s="101"/>
      <x:c r="F37" s="102"/>
      <x:c r="G37" s="2"/>
    </x:row>
    <x:row r="38" s="3" customFormat="1" ht="12">
      <x:c r="A38" s="116" t="s">
        <x:v>25</x:v>
      </x:c>
      <x:c r="B38" s="117"/>
      <x:c r="C38" s="117"/>
      <x:c r="D38" s="117"/>
      <x:c r="E38" s="117"/>
      <x:c r="F38" s="118"/>
      <x:c r="G38" s="2"/>
    </x:row>
    <x:row r="39" s="3" customFormat="1" ht="14.25">
      <x:c r="A39" s="78" t="s">
        <x:v>26</x:v>
      </x:c>
      <x:c r="B39" s="12"/>
      <x:c r="C39" s="12"/>
      <x:c r="D39" s="13"/>
      <x:c r="E39" s="13"/>
      <x:c r="F39" s="15"/>
      <x:c r="G39" s="2"/>
    </x:row>
    <x:row r="40" s="3" customFormat="1" ht="14.25">
      <x:c r="A40" s="34" t="s">
        <x:v>27</x:v>
      </x:c>
      <x:c r="B40" s="12"/>
      <x:c r="C40" s="12"/>
      <x:c r="D40" s="13"/>
      <x:c r="E40" s="13"/>
      <x:c r="F40" s="15"/>
      <x:c r="G40" s="2"/>
    </x:row>
    <x:row r="41" s="3" customFormat="1" ht="14.25">
      <x:c r="A41" s="54" t="s">
        <x:v>28</x:v>
      </x:c>
      <x:c r="B41" s="12"/>
      <x:c r="C41" s="12"/>
      <x:c r="D41" s="13"/>
      <x:c r="E41" s="13"/>
      <x:c r="F41" s="15"/>
      <x:c r="G41" s="2"/>
    </x:row>
    <x:row r="42" s="3" customFormat="1" ht="12">
      <x:c r="A42" s="73" t="s">
        <x:v>29</x:v>
      </x:c>
      <x:c r="B42" s="74"/>
      <x:c r="C42" s="74"/>
      <x:c r="D42" s="75"/>
      <x:c r="E42" s="75"/>
      <x:c r="F42" s="76"/>
      <x:c r="G42" s="2"/>
    </x:row>
    <x:row r="43">
      <x:c r="D43" s="11"/>
      <x:c r="E43" s="11"/>
      <x:c r="F43" s="11"/>
    </x:row>
  </x:sheetData>
  <x:mergeCells>
    <x:mergeCell ref="A38:F38"/>
    <x:mergeCell ref="A7:F7"/>
    <x:mergeCell ref="D14:F14"/>
  </x:mergeCells>
  <x:hyperlinks>
    <x:hyperlink ref="G5" location="Índice!A1"/>
  </x:hyperlinks>
  <x:pageMargins left="0.7" right="0.7" top="0.75" bottom="0.75" header="0.3" footer="0.3"/>
  <x:drawing xmlns:r="http://schemas.openxmlformats.org/officeDocument/2006/relationships" r:id="R4605a56df0b04e59"/>
</x:worksheet>
</file>

<file path=xl/worksheets/sheet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31.42578125" style="1" customWidth="1"/>
    <x:col min="4" max="4" width="30.7109375" style="2" customWidth="1"/>
    <x:col min="5" max="5" width="24.85546875" style="2" customWidth="1"/>
    <x:col min="6" max="6" width="27.7109375" style="2" customWidth="1"/>
    <x:col min="7" max="7" width="28.28515625" style="2" customWidth="1"/>
    <x:col min="8" max="16384" width="11.42578125" style="10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  <x:c r="H1" s="2"/>
    </x:row>
    <x:row r="2" s="3" customFormat="1" ht="14.25" customHeight="1">
      <x:c r="A2" s="1"/>
      <x:c r="B2" s="1"/>
      <x:c r="C2" s="1"/>
      <x:c r="D2" s="2"/>
      <x:c r="E2" s="4"/>
      <x:c r="F2" s="4"/>
      <x:c r="G2" s="4"/>
      <x:c r="H2" s="4"/>
    </x:row>
    <x:row r="3" s="3" customFormat="1" ht="14.25" customHeight="1">
      <x:c r="A3" s="1"/>
      <x:c r="B3" s="1"/>
      <x:c r="C3" s="1"/>
      <x:c r="D3" s="2"/>
      <x:c r="E3" s="4"/>
      <x:c r="F3" s="4"/>
      <x:c r="G3" s="4"/>
      <x:c r="H3" s="4"/>
    </x:row>
    <x:row r="4" s="3" customFormat="1" ht="14.25" customHeight="1">
      <x:c r="A4" s="1"/>
      <x:c r="B4" s="1"/>
      <x:c r="C4" s="1"/>
      <x:c r="D4" s="2"/>
      <x:c r="E4" s="4"/>
      <x:c r="F4" s="4"/>
      <x:c r="G4" s="4"/>
      <x:c r="H4" s="4"/>
    </x:row>
    <x:row r="5" s="3" customFormat="1" ht="14.25" customHeight="1">
      <x:c r="A5" s="1"/>
      <x:c r="B5" s="1"/>
      <x:c r="C5" s="1"/>
      <x:c r="D5" s="2"/>
      <x:c r="E5" s="4"/>
      <x:c r="F5" s="4"/>
      <x:c r="H5" s="19" t="s">
        <x:v>9</x:v>
      </x:c>
    </x:row>
    <x:row r="6" s="3" customFormat="1" ht="15" customHeight="1">
      <x:c r="A6" s="5"/>
      <x:c r="B6" s="1"/>
      <x:c r="C6" s="1"/>
      <x:c r="D6" s="2"/>
      <x:c r="E6" s="2"/>
      <x:c r="F6" s="2"/>
      <x:c r="G6" s="2"/>
      <x:c r="H6" s="65"/>
    </x:row>
    <x:row r="7" s="3" customFormat="1" ht="34.5" customHeight="1">
      <x:c r="A7" s="119" t="s">
        <x:v>10</x:v>
      </x:c>
      <x:c r="B7" s="120"/>
      <x:c r="C7" s="120"/>
      <x:c r="D7" s="120"/>
      <x:c r="E7" s="120"/>
      <x:c r="F7" s="120"/>
      <x:c r="G7" s="120"/>
    </x:row>
    <x:row r="8" s="3" customFormat="1" ht="15.600000381469727" customHeight="1">
      <x:c r="A8" s="79" t="s">
        <x:v>11</x:v>
      </x:c>
      <x:c r="B8" s="80"/>
      <x:c r="C8" s="80"/>
      <x:c r="D8" s="80"/>
      <x:c r="E8" s="80"/>
      <x:c r="F8" s="80"/>
      <x:c r="G8" s="81"/>
    </x:row>
    <x:row r="9" s="3" customFormat="1" ht="15.600000381469727" customHeight="1">
      <x:c r="A9" s="82" t="s">
        <x:v>30</x:v>
      </x:c>
      <x:c r="B9" s="83"/>
      <x:c r="C9" s="83"/>
      <x:c r="D9" s="83"/>
      <x:c r="E9" s="83"/>
      <x:c r="F9" s="83"/>
      <x:c r="G9" s="84"/>
    </x:row>
    <x:row r="10" s="3" customFormat="1" ht="15.600000381469727" customHeight="1">
      <x:c r="A10" s="82" t="s">
        <x:v>13</x:v>
      </x:c>
      <x:c r="B10" s="85"/>
      <x:c r="C10" s="85"/>
      <x:c r="D10" s="85"/>
      <x:c r="E10" s="85"/>
      <x:c r="F10" s="85"/>
      <x:c r="G10" s="84"/>
    </x:row>
    <x:row r="11" s="3" customFormat="1" ht="15.600000381469727" customHeight="1">
      <x:c r="A11" s="86" t="s">
        <x:v>14</x:v>
      </x:c>
      <x:c r="B11" s="87"/>
      <x:c r="C11" s="87"/>
      <x:c r="D11" s="87"/>
      <x:c r="E11" s="87"/>
      <x:c r="F11" s="87"/>
      <x:c r="G11" s="88"/>
    </x:row>
    <x:row r="12" s="3" customFormat="1" ht="14.25" customHeight="1">
      <x:c r="A12" s="6"/>
      <x:c r="B12" s="7"/>
      <x:c r="C12" s="7"/>
      <x:c r="D12" s="8"/>
      <x:c r="E12" s="8"/>
      <x:c r="F12" s="8"/>
      <x:c r="G12" s="8"/>
      <x:c r="H12" s="9"/>
    </x:row>
    <x:row r="13" s="3" customFormat="1" ht="52.349998474121094" customHeight="1">
      <x:c r="A13" s="103"/>
      <x:c r="B13" s="121" t="s">
        <x:v>15</x:v>
      </x:c>
      <x:c r="C13" s="33" t="s">
        <x:v>31</x:v>
      </x:c>
      <x:c r="D13" s="33" t="s">
        <x:v>17</x:v>
      </x:c>
      <x:c r="E13" s="33" t="s">
        <x:v>32</x:v>
      </x:c>
      <x:c r="F13" s="33" t="s">
        <x:v>18</x:v>
      </x:c>
      <x:c r="G13" s="27" t="s">
        <x:v>33</x:v>
      </x:c>
      <x:c r="H13" s="1"/>
    </x:row>
    <x:row r="14" s="3" customFormat="1" ht="14.25">
      <x:c r="A14" s="55"/>
      <x:c r="B14" s="122"/>
      <x:c r="C14" s="77" t="s">
        <x:v>20</x:v>
      </x:c>
      <x:c r="D14" s="125" t="s">
        <x:v>34</x:v>
      </x:c>
      <x:c r="E14" s="125"/>
      <x:c r="F14" s="125"/>
      <x:c r="G14" s="126"/>
      <x:c r="H14" s="1"/>
    </x:row>
    <x:row r="15" s="3" customFormat="1" ht="31.5" customHeight="1">
      <x:c r="A15" s="20"/>
      <x:c r="B15" s="22">
        <x:v>2005</x:v>
      </x:c>
      <x:c r="C15" s="31">
        <x:v>1.825313726877251</x:v>
      </x:c>
      <x:c r="D15" s="23">
        <x:v>-0.31998264255664721</x:v>
      </x:c>
      <x:c r="E15" s="23">
        <x:v>0.93740827408453531</x:v>
      </x:c>
      <x:c r="F15" s="23">
        <x:v>0.45577508771023473</x:v>
      </x:c>
      <x:c r="G15" s="29">
        <x:v>0.75211300763912869</x:v>
      </x:c>
      <x:c r="H15" s="32"/>
    </x:row>
    <x:row r="16" s="3" customFormat="1" ht="31.5" customHeight="1">
      <x:c r="A16" s="28"/>
      <x:c r="B16" s="24">
        <x:v>2006</x:v>
      </x:c>
      <x:c r="C16" s="30">
        <x:v>7.4004440461610468</x:v>
      </x:c>
      <x:c r="D16" s="25">
        <x:v>4.230771160217258</x:v>
      </x:c>
      <x:c r="E16" s="25">
        <x:v>0.38059775004206309</x:v>
      </x:c>
      <x:c r="F16" s="25">
        <x:v>2.4961701197949031</x:v>
      </x:c>
      <x:c r="G16" s="26">
        <x:v>0.29290501610682262</x:v>
      </x:c>
      <x:c r="H16" s="32"/>
    </x:row>
    <x:row r="17" s="3" customFormat="1" ht="31.5" customHeight="1">
      <x:c r="A17" s="20"/>
      <x:c r="B17" s="22">
        <x:v>2007</x:v>
      </x:c>
      <x:c r="C17" s="31">
        <x:v>1.278050012223839</x:v>
      </x:c>
      <x:c r="D17" s="23">
        <x:v>-2.6821777797356519</x:v>
      </x:c>
      <x:c r="E17" s="23">
        <x:v>2.3450602647302921</x:v>
      </x:c>
      <x:c r="F17" s="23">
        <x:v>0.88136087392531204</x:v>
      </x:c>
      <x:c r="G17" s="29">
        <x:v>0.73380665330388617</x:v>
      </x:c>
      <x:c r="H17" s="32"/>
    </x:row>
    <x:row r="18" s="3" customFormat="1" ht="31.5" customHeight="1">
      <x:c r="A18" s="28"/>
      <x:c r="B18" s="24">
        <x:v>2008</x:v>
      </x:c>
      <x:c r="C18" s="30">
        <x:v>-0.93785214498757397</x:v>
      </x:c>
      <x:c r="D18" s="25">
        <x:v>-1.654100906303738</x:v>
      </x:c>
      <x:c r="E18" s="25">
        <x:v>-0.44391527484232668</x:v>
      </x:c>
      <x:c r="F18" s="25">
        <x:v>0.50783773535449073</x:v>
      </x:c>
      <x:c r="G18" s="26">
        <x:v>0.652326300804</x:v>
      </x:c>
      <x:c r="H18" s="32"/>
    </x:row>
    <x:row r="19" s="3" customFormat="1" ht="31.5" customHeight="1">
      <x:c r="A19" s="20"/>
      <x:c r="B19" s="22">
        <x:v>2009</x:v>
      </x:c>
      <x:c r="C19" s="31">
        <x:v>-2.7340288417418082</x:v>
      </x:c>
      <x:c r="D19" s="23">
        <x:v>-1.0518326063287811</x:v>
      </x:c>
      <x:c r="E19" s="23">
        <x:v>-1.5337304910772509</x:v>
      </x:c>
      <x:c r="F19" s="23">
        <x:v>1.0166367633144471</x:v>
      </x:c>
      <x:c r="G19" s="29">
        <x:v>-1.1651025076502231</x:v>
      </x:c>
      <x:c r="H19" s="32"/>
    </x:row>
    <x:row r="20" s="3" customFormat="1" ht="31.5" customHeight="1">
      <x:c r="A20" s="28"/>
      <x:c r="B20" s="24">
        <x:v>2010</x:v>
      </x:c>
      <x:c r="C20" s="30">
        <x:v>-1.318114680350446</x:v>
      </x:c>
      <x:c r="D20" s="25">
        <x:v>-1.7027617962604069</x:v>
      </x:c>
      <x:c r="E20" s="25">
        <x:v>-5.2395364941605141E-2</x:v>
      </x:c>
      <x:c r="F20" s="25">
        <x:v>-0.39822061165767147</x:v>
      </x:c>
      <x:c r="G20" s="26">
        <x:v>0.8352630925092378</x:v>
      </x:c>
      <x:c r="H20" s="32"/>
    </x:row>
    <x:row r="21" s="3" customFormat="1" ht="31.5" customHeight="1">
      <x:c r="A21" s="20"/>
      <x:c r="B21" s="22">
        <x:v>2011</x:v>
      </x:c>
      <x:c r="C21" s="31">
        <x:v>1.0433214226799929</x:v>
      </x:c>
      <x:c r="D21" s="23">
        <x:v>0.4646006442882184</x:v>
      </x:c>
      <x:c r="E21" s="23">
        <x:v>-0.1163861452290844</x:v>
      </x:c>
      <x:c r="F21" s="23">
        <x:v>0.30947084484479898</x:v>
      </x:c>
      <x:c r="G21" s="29">
        <x:v>0.38563607877606038</x:v>
      </x:c>
      <x:c r="H21" s="32"/>
    </x:row>
    <x:row r="22" s="3" customFormat="1" ht="31.5" customHeight="1">
      <x:c r="A22" s="28"/>
      <x:c r="B22" s="24">
        <x:v>2012</x:v>
      </x:c>
      <x:c r="C22" s="30">
        <x:v>1.266725145305337</x:v>
      </x:c>
      <x:c r="D22" s="25">
        <x:v>-0.45092222003172477</x:v>
      </x:c>
      <x:c r="E22" s="25">
        <x:v>-0.52812245401134927</x:v>
      </x:c>
      <x:c r="F22" s="25">
        <x:v>2.452425386787648</x:v>
      </x:c>
      <x:c r="G22" s="26">
        <x:v>-0.20665556743923791</x:v>
      </x:c>
      <x:c r="H22" s="32"/>
    </x:row>
    <x:row r="23" s="3" customFormat="1" ht="31.5" customHeight="1">
      <x:c r="A23" s="20"/>
      <x:c r="B23" s="22">
        <x:v>2013</x:v>
      </x:c>
      <x:c r="C23" s="31">
        <x:v>3.6265871137934078</x:v>
      </x:c>
      <x:c r="D23" s="23">
        <x:v>0.46016962672036388</x:v>
      </x:c>
      <x:c r="E23" s="23">
        <x:v>-0.70214894504288183</x:v>
      </x:c>
      <x:c r="F23" s="23">
        <x:v>2.6486823770590542</x:v>
      </x:c>
      <x:c r="G23" s="29">
        <x:v>1.2198840550568719</x:v>
      </x:c>
      <x:c r="H23" s="32"/>
    </x:row>
    <x:row r="24" s="3" customFormat="1" ht="31.5" customHeight="1">
      <x:c r="A24" s="28"/>
      <x:c r="B24" s="24">
        <x:v>2014</x:v>
      </x:c>
      <x:c r="C24" s="30">
        <x:v>1.567957745608096</x:v>
      </x:c>
      <x:c r="D24" s="25">
        <x:v>-1.41434685136183</x:v>
      </x:c>
      <x:c r="E24" s="25">
        <x:v>0.44726630779836141</x:v>
      </x:c>
      <x:c r="F24" s="25">
        <x:v>1.8335296684287761</x:v>
      </x:c>
      <x:c r="G24" s="26">
        <x:v>0.7015086207427883</x:v>
      </x:c>
      <x:c r="H24" s="32"/>
    </x:row>
    <x:row r="25" s="3" customFormat="1" ht="36" customHeight="1">
      <x:c r="A25" s="20"/>
      <x:c r="B25" s="22">
        <x:v>2015</x:v>
      </x:c>
      <x:c r="C25" s="31">
        <x:v>1.179234560714217</x:v>
      </x:c>
      <x:c r="D25" s="23">
        <x:v>0.77227818760513434</x:v>
      </x:c>
      <x:c r="E25" s="23">
        <x:v>-0.26586640451519888</x:v>
      </x:c>
      <x:c r="F25" s="23">
        <x:v>1.245325474815226</x:v>
      </x:c>
      <x:c r="G25" s="29">
        <x:v>-0.57250269719094349</x:v>
      </x:c>
      <x:c r="H25" s="32"/>
    </x:row>
    <x:row r="26" s="3" customFormat="1" ht="36" customHeight="1">
      <x:c r="A26" s="21"/>
      <x:c r="B26" s="24">
        <x:v>2016</x:v>
      </x:c>
      <x:c r="C26" s="30">
        <x:v>-1.5936716944995579</x:v>
      </x:c>
      <x:c r="D26" s="25">
        <x:v>-1.1600882680448881</x:v>
      </x:c>
      <x:c r="E26" s="25">
        <x:v>-1.1515503828960001</x:v>
      </x:c>
      <x:c r="F26" s="25">
        <x:v>0.46127486063022372</x:v>
      </x:c>
      <x:c r="G26" s="26">
        <x:v>0.25669209581110608</x:v>
      </x:c>
      <x:c r="H26" s="32"/>
    </x:row>
    <x:row r="27" s="3" customFormat="1" ht="36" customHeight="1">
      <x:c r="A27" s="20"/>
      <x:c r="B27" s="22">
        <x:v>2017</x:v>
      </x:c>
      <x:c r="C27" s="31">
        <x:v>2.4442629726060572</x:v>
      </x:c>
      <x:c r="D27" s="23">
        <x:v>0.19381014628942861</x:v>
      </x:c>
      <x:c r="E27" s="23">
        <x:v>0.72605865396884139</x:v>
      </x:c>
      <x:c r="F27" s="23">
        <x:v>1.673766382087627</x:v>
      </x:c>
      <x:c r="G27" s="29">
        <x:v>-0.14937220973983981</x:v>
      </x:c>
      <x:c r="H27" s="32"/>
    </x:row>
    <x:row r="28" s="3" customFormat="1" ht="36" customHeight="1">
      <x:c r="A28" s="21"/>
      <x:c r="B28" s="24">
        <x:v>2018</x:v>
      </x:c>
      <x:c r="C28" s="30">
        <x:v>1.8583362137354771</x:v>
      </x:c>
      <x:c r="D28" s="25">
        <x:v>0.2351137663286853</x:v>
      </x:c>
      <x:c r="E28" s="25">
        <x:v>0.43662986107208063</x:v>
      </x:c>
      <x:c r="F28" s="25">
        <x:v>0.64652836464850705</x:v>
      </x:c>
      <x:c r="G28" s="26">
        <x:v>0.54006422168620383</x:v>
      </x:c>
      <x:c r="H28" s="32"/>
    </x:row>
    <x:row r="29" s="3" customFormat="1" ht="36" customHeight="1">
      <x:c r="A29" s="20"/>
      <x:c r="B29" s="22">
        <x:v>2019</x:v>
      </x:c>
      <x:c r="C29" s="31">
        <x:v>2.3689105166912912</x:v>
      </x:c>
      <x:c r="D29" s="23">
        <x:v>0.2294517232210479</x:v>
      </x:c>
      <x:c r="E29" s="23">
        <x:v>0.42662141624841171</x:v>
      </x:c>
      <x:c r="F29" s="23">
        <x:v>1.272982068622482</x:v>
      </x:c>
      <x:c r="G29" s="29">
        <x:v>0.43985530859934929</x:v>
      </x:c>
      <x:c r="H29" s="32"/>
    </x:row>
    <x:row r="30" s="3" customFormat="1" ht="36" customHeight="1">
      <x:c r="A30" s="21"/>
      <x:c r="B30" s="24">
        <x:v>2020</x:v>
      </x:c>
      <x:c r="C30" s="30">
        <x:v>-1.889120725385075</x:v>
      </x:c>
      <x:c r="D30" s="25">
        <x:v>-1.5029143130252329</x:v>
      </x:c>
      <x:c r="E30" s="25">
        <x:v>-4.4166850394057739</x:v>
      </x:c>
      <x:c r="F30" s="25">
        <x:v>1.8184618182787109</x:v>
      </x:c>
      <x:c r="G30" s="26">
        <x:v>2.212016808767221</x:v>
      </x:c>
      <x:c r="H30" s="32"/>
    </x:row>
    <x:row r="31" s="3" customFormat="1" ht="36" customHeight="1">
      <x:c r="A31" s="37"/>
      <x:c r="B31" s="38">
        <x:v>2021</x:v>
      </x:c>
      <x:c r="C31" s="48">
        <x:v>5.6852541959149709</x:v>
      </x:c>
      <x:c r="D31" s="49">
        <x:v>1.2977314173282499</x:v>
      </x:c>
      <x:c r="E31" s="49">
        <x:v>5.3398625814246987</x:v>
      </x:c>
      <x:c r="F31" s="49">
        <x:v>-1.5582791002887151</x:v>
      </x:c>
      <x:c r="G31" s="50">
        <x:v>0.60593929745073749</x:v>
      </x:c>
      <x:c r="H31" s="32"/>
    </x:row>
    <x:row r="32" s="3" customFormat="1" ht="36" customHeight="1">
      <x:c r="A32" s="21"/>
      <x:c r="B32" s="24">
        <x:v>2022</x:v>
      </x:c>
      <x:c r="C32" s="30">
        <x:v>-2.202809324980481</x:v>
      </x:c>
      <x:c r="D32" s="25">
        <x:v>0.15530179291377891</x:v>
      </x:c>
      <x:c r="E32" s="25">
        <x:v>-1.033464531385321</x:v>
      </x:c>
      <x:c r="F32" s="25">
        <x:v>-1.499464162739103</x:v>
      </x:c>
      <x:c r="G32" s="26">
        <x:v>0.174817576230164</x:v>
      </x:c>
      <x:c r="H32" s="32"/>
    </x:row>
    <x:row r="33" s="3" customFormat="1" ht="36" customHeight="1">
      <x:c r="A33" s="20"/>
      <x:c r="B33" s="22">
        <x:v>2023</x:v>
      </x:c>
      <x:c r="C33" s="31">
        <x:v>-2.4860904714741769</x:v>
      </x:c>
      <x:c r="D33" s="23">
        <x:v>-0.92342077132738876</x:v>
      </x:c>
      <x:c r="E33" s="23">
        <x:v>-0.98020207393067482</x:v>
      </x:c>
      <x:c r="F33" s="23">
        <x:v>-0.81609498977827288</x:v>
      </x:c>
      <x:c r="G33" s="29">
        <x:v>0.2336273635621591</x:v>
      </x:c>
      <x:c r="H33" s="32"/>
    </x:row>
    <x:row r="34" s="3" customFormat="1" ht="36" customHeight="1">
      <x:c r="A34" s="21"/>
      <x:c r="B34" s="24" t="s">
        <x:v>22</x:v>
      </x:c>
      <x:c r="C34" s="30">
        <x:v>0.55250202989232244</x:v>
      </x:c>
      <x:c r="D34" s="25">
        <x:v>1.2059981403646689</x:v>
      </x:c>
      <x:c r="E34" s="25">
        <x:v>-0.97788980678063853</x:v>
      </x:c>
      <x:c r="F34" s="25">
        <x:v>0.33122398011642068</x:v>
      </x:c>
      <x:c r="G34" s="26">
        <x:v>-6.8302838081286824E-3</x:v>
      </x:c>
      <x:c r="H34" s="32"/>
    </x:row>
    <x:row r="35" s="3" customFormat="1" ht="36" customHeight="1">
      <x:c r="A35" s="68"/>
      <x:c r="B35" s="69" t="s">
        <x:v>23</x:v>
      </x:c>
      <x:c r="C35" s="70">
        <x:v>-0.55912372650222153</x:v>
      </x:c>
      <x:c r="D35" s="71">
        <x:v>0.75366940811146166</x:v>
      </x:c>
      <x:c r="E35" s="71">
        <x:v>-0.66265987642456803</x:v>
      </x:c>
      <x:c r="F35" s="71">
        <x:v>-0.47836384719825598</x:v>
      </x:c>
      <x:c r="G35" s="72">
        <x:v>-0.17176941099085921</x:v>
      </x:c>
      <x:c r="H35" s="32"/>
    </x:row>
    <x:row r="36">
      <x:c r="D36" s="11"/>
      <x:c r="E36" s="11"/>
      <x:c r="F36" s="11"/>
      <x:c r="G36" s="11"/>
    </x:row>
    <x:row r="37" s="3" customFormat="1" ht="14.25">
      <x:c r="A37" s="104" t="s">
        <x:v>24</x:v>
      </x:c>
      <x:c r="B37" s="105"/>
      <x:c r="C37" s="106"/>
      <x:c r="D37" s="107"/>
      <x:c r="E37" s="107"/>
      <x:c r="F37" s="108"/>
      <x:c r="G37" s="109"/>
      <x:c r="H37" s="2"/>
    </x:row>
    <x:row r="38" s="3" customFormat="1" ht="14.25">
      <x:c r="A38" s="36" t="s">
        <x:v>25</x:v>
      </x:c>
      <x:c r="B38" s="35"/>
      <x:c r="C38" s="12"/>
      <x:c r="D38" s="13"/>
      <x:c r="E38" s="13"/>
      <x:c r="F38" s="14"/>
      <x:c r="G38" s="15"/>
      <x:c r="H38" s="2"/>
    </x:row>
    <x:row r="39" s="3" customFormat="1" ht="14.25">
      <x:c r="A39" s="110" t="s">
        <x:v>26</x:v>
      </x:c>
      <x:c r="B39" s="12"/>
      <x:c r="C39" s="12"/>
      <x:c r="D39" s="13"/>
      <x:c r="E39" s="13"/>
      <x:c r="F39" s="14"/>
      <x:c r="G39" s="15"/>
      <x:c r="H39" s="2"/>
    </x:row>
    <x:row r="40" s="3" customFormat="1" ht="14.25">
      <x:c r="A40" s="34" t="s">
        <x:v>27</x:v>
      </x:c>
      <x:c r="B40" s="12"/>
      <x:c r="C40" s="12"/>
      <x:c r="D40" s="13"/>
      <x:c r="E40" s="13"/>
      <x:c r="F40" s="14"/>
      <x:c r="G40" s="15"/>
      <x:c r="H40" s="2"/>
    </x:row>
    <x:row r="41" s="3" customFormat="1" ht="50.25">
      <x:c r="A41" s="56" t="s">
        <x:v>35</x:v>
      </x:c>
      <x:c r="B41" s="12"/>
      <x:c r="C41" s="12"/>
      <x:c r="D41" s="13"/>
      <x:c r="E41" s="13"/>
      <x:c r="F41" s="14"/>
      <x:c r="G41" s="15"/>
      <x:c r="H41" s="2"/>
    </x:row>
    <x:row r="42" s="3" customFormat="1" ht="12">
      <x:c r="A42" s="73" t="s">
        <x:v>29</x:v>
      </x:c>
      <x:c r="B42" s="74"/>
      <x:c r="C42" s="74"/>
      <x:c r="D42" s="75"/>
      <x:c r="E42" s="75"/>
      <x:c r="F42" s="75"/>
      <x:c r="G42" s="76"/>
      <x:c r="H42" s="2"/>
    </x:row>
    <x:row r="43">
      <x:c r="D43" s="11"/>
      <x:c r="E43" s="11"/>
      <x:c r="F43" s="11"/>
      <x:c r="G43" s="11"/>
    </x:row>
  </x:sheetData>
  <x:mergeCells>
    <x:mergeCell ref="A7:G7"/>
    <x:mergeCell ref="B13:B14"/>
    <x:mergeCell ref="D14:G14"/>
  </x:mergeCells>
  <x:hyperlinks>
    <x:hyperlink ref="H5" location="Índice!A1"/>
  </x:hyperlinks>
  <x:pageMargins left="0.7" right="0.7" top="0.75" bottom="0.75" header="0.3" footer="0.3"/>
  <x:drawing xmlns:r="http://schemas.openxmlformats.org/officeDocument/2006/relationships" r:id="R32b13ffbc58b4a0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5" hidden="0" customWidth="1"/>
    <x:col min="3" max="3" width="3" hidden="0" customWidth="1"/>
    <x:col min="4" max="4" width="22.5" hidden="0" customWidth="1"/>
    <x:col min="5" max="5" width="32.5" hidden="0" customWidth="1"/>
    <x:col min="6" max="6" width="13.75" hidden="0" customWidth="1"/>
    <x:col min="7" max="7" width="31.25" hidden="0" customWidth="1"/>
    <x:col min="8" max="8" width="20" hidden="0" customWidth="1"/>
  </x:cols>
  <x:sheetData>
    <x:row r="1" ht="25.5" customHeight="1">
      <x:c r="A1" s="130" t="str">
        <x:v>Cálculos y validación del informe sobre Productividad Total de los Factores</x:v>
      </x:c>
      <x:c r="B1" s="130"/>
      <x:c r="C1" s="130"/>
      <x:c r="D1" s="130"/>
      <x:c r="E1" s="130"/>
      <x:c r="F1" s="130"/>
      <x:c r="G1" s="130"/>
      <x:c r="H1" s="130"/>
    </x:row>
    <x:row r="2" ht="22.5" customHeight="1">
      <x:c r="A2" s="134" t="str">
        <x:v>Hojas agregadas por el CJC a anex-PTF-ProductividadLaboral-2025.xlsx. Los cuadros originales del DANE no fueron modificados.</x:v>
      </x:c>
      <x:c r="B2" s="134"/>
      <x:c r="C2" s="134"/>
      <x:c r="D2" s="134"/>
      <x:c r="E2" s="134"/>
      <x:c r="F2" s="134"/>
      <x:c r="G2" s="134"/>
      <x:c r="H2" s="134"/>
    </x:row>
    <x:row r="4" ht="25.5" customHeight="1">
      <x:c r="A4" s="140" t="str">
        <x:v>Resultado de la auditoría</x:v>
      </x:c>
      <x:c r="B4" s="140" t="str">
        <x:v>Conclusión</x:v>
      </x:c>
      <x:c r="D4" s="140" t="str">
        <x:v>Hoja</x:v>
      </x:c>
      <x:c r="E4" s="140" t="str">
        <x:v>Contenido</x:v>
      </x:c>
      <x:c r="F4" s="140" t="str">
        <x:v>Periodo</x:v>
      </x:c>
      <x:c r="G4" s="140" t="str">
        <x:v>Uso principal</x:v>
      </x:c>
      <x:c r="H4" s="140" t="str">
        <x:v>Colores</x:v>
      </x:c>
    </x:row>
    <x:row r="5">
      <x:c r="A5" s="149" t="str">
        <x:v>Ponderador correcto</x:v>
      </x:c>
      <x:c r="B5" s="147" t="str">
        <x:v>Promedio Törnqvist de la participación de cada actividad en el valor bruto de producción (VBP) nominal.</x:v>
      </x:c>
      <x:c r="D5" s="147" t="str">
        <x:v>CJC VA total</x:v>
      </x:c>
      <x:c r="E5" s="147" t="str">
        <x:v>PTF y descomposición del total bajo valor agregado</x:v>
      </x:c>
      <x:c r="F5" s="147" t="str">
        <x:v>2005–2025</x:v>
      </x:c>
      <x:c r="G5" s="147" t="str">
        <x:v>Figuras 1 y 2; contrafactual de PTF +1 pp</x:v>
      </x:c>
      <x:c r="H5" s="147" t="str">
        <x:v>Azul: dato DANE; verde: fórmula</x:v>
      </x:c>
    </x:row>
    <x:row r="6">
      <x:c r="A6" s="150" t="str">
        <x:v>Fórmula</x:v>
      </x:c>
      <x:c r="B6" s="148" t="str">
        <x:v>w(i,t) = 0,5 × [VBP(i,t−1)/VBP(t−1) + VBP(i,t)/VBP(t)].</x:v>
      </x:c>
      <x:c r="D6" s="158" t="str">
        <x:v>CJC PTF actividad</x:v>
      </x:c>
      <x:c r="E6" s="158" t="str">
        <x:v>Tasas e índices encadenados de nueve actividades y del total</x:v>
      </x:c>
      <x:c r="F6" s="158" t="str">
        <x:v>2004–2024</x:v>
      </x:c>
      <x:c r="G6" s="158" t="str">
        <x:v>Figuras 3 y 4</x:v>
      </x:c>
      <x:c r="H6" s="158" t="str">
        <x:v>Azul: dato DANE; verde: fórmula</x:v>
      </x:c>
    </x:row>
    <x:row r="7">
      <x:c r="A7" s="150" t="str">
        <x:v>Validación 2006–2024</x:v>
      </x:c>
      <x:c r="B7" s="148" t="str">
        <x:v>171 comparaciones. Diferencia máxima frente al peso implícito exacto: 0.00031 puntos porcentuales.</x:v>
      </x:c>
      <x:c r="D7" s="148" t="str">
        <x:v>CJC Pesos VBP</x:v>
      </x:c>
      <x:c r="E7" s="148" t="str">
        <x:v>VBP nominal, participaciones, pesos y contribuciones anuales</x:v>
      </x:c>
      <x:c r="F7" s="148" t="str">
        <x:v>2005–2024</x:v>
      </x:c>
      <x:c r="G7" s="148" t="str">
        <x:v>Auditoría de ponderadores</x:v>
      </x:c>
      <x:c r="H7" s="148" t="str">
        <x:v>Rojo/verde: signo de contribución</x:v>
      </x:c>
    </x:row>
    <x:row r="8">
      <x:c r="A8" s="150" t="str">
        <x:v>Año 2005</x:v>
      </x:c>
      <x:c r="B8" s="148" t="str">
        <x:v>El COU público Base 2015 comienza en 2005; por eso el peso directo de 2005 requeriría el VBP nominal de 2004. Para ese año se conserva el peso implícito exacto.</x:v>
      </x:c>
      <x:c r="D8" s="158" t="str">
        <x:v>CJC Contribuciones</x:v>
      </x:c>
      <x:c r="E8" s="158" t="str">
        <x:v>Contribuciones acumuladas y anualizadas; cascada</x:v>
      </x:c>
      <x:c r="F8" s="158" t="str">
        <x:v>2005–2024</x:v>
      </x:c>
      <x:c r="G8" s="158" t="str">
        <x:v>Figuras 5 y 6</x:v>
      </x:c>
      <x:c r="H8" s="158" t="str">
        <x:v>Negativo/positivo</x:v>
      </x:c>
    </x:row>
    <x:row r="9">
      <x:c r="A9" s="150" t="str">
        <x:v>Decisión de cálculo</x:v>
      </x:c>
      <x:c r="B9" s="148" t="str">
        <x:v>Las contribuciones usan los pesos implícitos de alta precisión porque reproducen exactamente los trece componentes del total del DANE. Los VBP publicados están redondeados y se usan como validación independiente.</x:v>
      </x:c>
      <x:c r="D9" s="148" t="str">
        <x:v>CJC Figuras</x:v>
      </x:c>
      <x:c r="E9" s="148" t="str">
        <x:v>Mapa de cada figura a su rango de cálculo</x:v>
      </x:c>
      <x:c r="F9" s="148" t="str">
        <x:v>—</x:v>
      </x:c>
      <x:c r="G9" s="148" t="str">
        <x:v>Trazabilidad</x:v>
      </x:c>
      <x:c r="H9" s="148" t="str">
        <x:v>—</x:v>
      </x:c>
    </x:row>
    <x:row r="10">
      <x:c r="D10" s="158" t="str">
        <x:v>Archivo de productividad laboral</x:v>
      </x:c>
      <x:c r="E10" s="158" t="str">
        <x:v>Las hojas CJC de PTF se agregan también al segundo anexo para que ambos archivos entregados conserven la misma carpeta de cálculos.</x:v>
      </x:c>
      <x:c r="F10" s="158" t="str">
        <x:v>—</x:v>
      </x:c>
      <x:c r="G10" s="158" t="str">
        <x:v>Referencia; no cambia la fuente estadística de las figuras PTF</x:v>
      </x:c>
      <x:c r="H10" s="158" t="str">
        <x:v>—</x:v>
      </x:c>
    </x:row>
    <x:row r="11" ht="25.5" customHeight="1">
      <x:c r="A11" s="140" t="str">
        <x:v>Advertencia documental</x:v>
      </x:c>
      <x:c r="B11" s="140" t="str">
        <x:v>Lectura</x:v>
      </x:c>
    </x:row>
    <x:row r="12" ht="25.5" customHeight="1">
      <x:c r="A12" s="157" t="str">
        <x:v>Nota al pie del anexo PTF</x:v>
      </x:c>
      <x:c r="B12" s="157" t="str">
        <x:v>Aunque el anexo menciona la composición del valor agregado, la comparación con los cuadros oferta-utilización no respalda esos pesos. Los pesos que reproducen el total coinciden con las participaciones del VBP nominal.</x:v>
      </x:c>
      <x:c r="D12" s="140" t="str">
        <x:v>Convención</x:v>
      </x:c>
      <x:c r="E12" s="140" t="str">
        <x:v>Formato</x:v>
      </x:c>
    </x:row>
    <x:row r="13">
      <x:c r="D13" s="145" t="str">
        <x:v>Dato copiado de una fuente</x:v>
      </x:c>
      <x:c r="E13" s="159" t="str">
        <x:v>Fuente azul</x:v>
      </x:c>
    </x:row>
    <x:row r="14" ht="25.5" customHeight="1">
      <x:c r="A14" s="140" t="str">
        <x:v>Fuente</x:v>
      </x:c>
      <x:c r="B14" s="140" t="str">
        <x:v>Enlace</x:v>
      </x:c>
      <x:c r="D14" s="146" t="str">
        <x:v>Celda calculada</x:v>
      </x:c>
      <x:c r="E14" s="160" t="str">
        <x:v>Fuente verde</x:v>
      </x:c>
    </x:row>
    <x:row r="15">
      <x:c r="A15" s="145" t="str">
        <x:v>Anexo PTF 2025 del DANE</x:v>
      </x:c>
      <x:c r="B15" s="147" t="str">
        <x:v>https://www.dane.gov.co/files/operaciones/PTF/anex-PTF-Productividad-2025.xlsx</x:v>
      </x:c>
    </x:row>
    <x:row r="16">
      <x:c r="A16" s="146" t="str">
        <x:v>Nota metodológica de la PTF</x:v>
      </x:c>
      <x:c r="B16" s="148" t="str">
        <x:v>https://www.dane.gov.co/files/investigaciones/boletines/pib/productividad/doc-metodologico-PTF-productividad-total-factores-2021.pdf</x:v>
      </x:c>
    </x:row>
    <x:row r="17">
      <x:c r="A17" s="146" t="str">
        <x:v>COU a precios corrientes 2005–2013</x:v>
      </x:c>
      <x:c r="B17" s="148" t="str">
        <x:v>https://www.dane.gov.co/files/investigaciones/boletines/pib/cuentas-nal-anuales/oferta-utilizacion-precios-corrientes-2005-2013.xlsx</x:v>
      </x:c>
    </x:row>
    <x:row r="18">
      <x:c r="A18" s="146" t="str">
        <x:v>COU a precios corrientes 2014–2024</x:v>
      </x:c>
      <x:c r="B18" s="148" t="str">
        <x:v>https://www.dane.gov.co/files/operaciones/PIB/anex-CuentasNalANuales-OfertaUtilizacionPreciosCorrientes-2024p.xlsx</x:v>
      </x:c>
    </x:row>
    <x:row r="19">
      <x:c r="A19" s="146" t="str">
        <x:v>Repositorio del informe</x:v>
      </x:c>
      <x:c r="B19" s="148" t="str">
        <x:v>https://github.com/oliverpardo1979/informe_ptf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25" hidden="0" customWidth="1"/>
    <x:col min="7" max="7" width="15" hidden="0" customWidth="1"/>
    <x:col min="8" max="8" width="15" hidden="0" customWidth="1"/>
    <x:col min="9" max="9" width="16.8799991607666" hidden="0" customWidth="1"/>
    <x:col min="10" max="10" width="15.630000114440918" hidden="0" customWidth="1"/>
    <x:col min="11" max="11" width="2.5" hidden="0" customWidth="1"/>
    <x:col min="12" max="12" width="35" hidden="0" customWidth="1"/>
    <x:col min="13" max="13" width="15" hidden="0" customWidth="1"/>
    <x:col min="14" max="14" width="2.5" hidden="0" customWidth="1"/>
    <x:col min="15" max="15" width="25" hidden="0" customWidth="1"/>
    <x:col min="16" max="16" width="12.5" hidden="0" customWidth="1"/>
    <x:col min="17" max="17" width="15" hidden="0" customWidth="1"/>
    <x:col min="18" max="18" width="15" hidden="0" customWidth="1"/>
  </x:cols>
  <x:sheetData>
    <x:row r="1" ht="25.5" customHeight="1">
      <x:c r="A1" s="130" t="str">
        <x:v>PTF y crecimiento del total de la economía: enfoque de valor agregado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  <x:c r="R1" s="130"/>
    </x:row>
    <x:row r="2" ht="22.5" customHeight="1">
      <x:c r="A2" s="134" t="str">
        <x:v>Tasas logarítmicas del DANE. Los índices parten de 100 en 2004 y se encadenan con EXP(tasa/100).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  <x:c r="Q2" s="134"/>
      <x:c r="R2" s="134"/>
    </x:row>
    <x:row r="5" ht="25.5" customHeight="1">
      <x:c r="A5" s="140" t="str">
        <x:v>Año</x:v>
      </x:c>
      <x:c r="B5" s="140" t="str">
        <x:v>Crecimiento VAB (%)</x:v>
      </x:c>
      <x:c r="C5" s="140" t="str">
        <x:v>Trabajo (pp)</x:v>
      </x:c>
      <x:c r="D5" s="140" t="str">
        <x:v>Capital (pp)</x:v>
      </x:c>
      <x:c r="E5" s="140" t="str">
        <x:v>Factores (pp)</x:v>
      </x:c>
      <x:c r="F5" s="140" t="str">
        <x:v>PTF (pp)</x:v>
      </x:c>
      <x:c r="G5" s="140" t="str">
        <x:v>Índice VAB observado</x:v>
      </x:c>
      <x:c r="H5" s="140" t="str">
        <x:v>Índice PTF observado</x:v>
      </x:c>
      <x:c r="I5" s="140" t="str">
        <x:v>Índice VAB si PTF +1 pp</x:v>
      </x:c>
      <x:c r="J5" s="140" t="str">
        <x:v>Brecha vs. observado (%)</x:v>
      </x:c>
      <x:c r="L5" s="140" t="str">
        <x:v>Indicador</x:v>
      </x:c>
      <x:c r="M5" s="140" t="str">
        <x:v>Resultado</x:v>
      </x:c>
      <x:c r="O5" s="140" t="str">
        <x:v>Paso de la cascada</x:v>
      </x:c>
      <x:c r="P5" s="140" t="str">
        <x:v>Tipo</x:v>
      </x:c>
      <x:c r="Q5" s="140" t="str">
        <x:v>Aporte/nivel (pp)</x:v>
      </x:c>
      <x:c r="R5" s="140" t="str">
        <x:v>Resultado (%)</x:v>
      </x:c>
    </x:row>
    <x:row r="6">
      <x:c r="A6" s="145" t="n">
        <x:v>2005</x:v>
      </x:c>
      <x:c r="B6" s="165" t="n">
        <x:v>4.700971511879895</x:v>
      </x:c>
      <x:c r="C6" s="165" t="n">
        <x:v>3.471334048148997</x:v>
      </x:c>
      <x:c r="D6" s="165" t="n">
        <x:v>1.549620106287544</x:v>
      </x:c>
      <x:c r="E6" s="165" t="n">
        <x:v>5.0209541544365415</x:v>
      </x:c>
      <x:c r="F6" s="165" t="n">
        <x:v>-0.3199826425566472</x:v>
      </x:c>
      <x:c r="G6" s="171" t="n">
        <x:f>100*EXP(B6/100)</x:f>
        <x:v>104.81321917589526</x:v>
      </x:c>
      <x:c r="H6" s="171" t="n">
        <x:f>100*EXP(F6/100)</x:f>
        <x:v>99.68052875629311</x:v>
      </x:c>
      <x:c r="I6" s="171" t="n">
        <x:f>100*EXP((B6+1)/100)</x:f>
        <x:v>105.86660954124252</x:v>
      </x:c>
      <x:c r="J6" s="172" t="n">
        <x:f>I6/G6-1</x:f>
        <x:v>0.010050167084167949</x:v>
      </x:c>
      <x:c r="L6" s="145" t="str">
        <x:v>Crecimiento anualizado VAB (%)</x:v>
      </x:c>
      <x:c r="M6" s="171" t="n">
        <x:f>AVERAGE(B6:B26)</x:f>
        <x:v>3.3876844138947293</x:v>
      </x:c>
      <x:c r="O6" s="145" t="str">
        <x:v>Trabajo</x:v>
      </x:c>
      <x:c r="P6" s="145" t="str">
        <x:v>Aumento</x:v>
      </x:c>
      <x:c r="Q6" s="171" t="n">
        <x:f>M7</x:f>
        <x:v>1.7318366955678837</x:v>
      </x:c>
      <x:c r="R6" s="171" t="n">
        <x:f>Q6</x:f>
        <x:v>1.7318366955678837</x:v>
      </x:c>
    </x:row>
    <x:row r="7">
      <x:c r="A7" s="164" t="n">
        <x:v>2006</x:v>
      </x:c>
      <x:c r="B7" s="166" t="n">
        <x:v>5.997796832210598</x:v>
      </x:c>
      <x:c r="C7" s="166" t="n">
        <x:v>-0.4703115070835877</x:v>
      </x:c>
      <x:c r="D7" s="166" t="n">
        <x:v>2.237337179076929</x:v>
      </x:c>
      <x:c r="E7" s="166" t="n">
        <x:v>1.7670256719933413</x:v>
      </x:c>
      <x:c r="F7" s="166" t="n">
        <x:v>4.230771160217258</x:v>
      </x:c>
      <x:c r="G7" s="173" t="n">
        <x:f>G6*EXP(B7/100)</x:f>
        <x:v>111.29205470432258</x:v>
      </x:c>
      <x:c r="H7" s="173" t="n">
        <x:f>H6*EXP(F7/100)</x:f>
        <x:v>103.98826655236881</x:v>
      </x:c>
      <x:c r="I7" s="173" t="n">
        <x:f>I6*EXP((B7+1)/100)</x:f>
        <x:v>113.54030334368092</x:v>
      </x:c>
      <x:c r="J7" s="174" t="n">
        <x:f>I7/G7-1</x:f>
        <x:v>0.020201340026755776</x:v>
      </x:c>
      <x:c r="L7" s="146" t="str">
        <x:v>Contribución anualizada trabajo (pp)</x:v>
      </x:c>
      <x:c r="M7" s="175" t="n">
        <x:f>AVERAGE(C6:C26)</x:f>
        <x:v>1.7318366955678837</x:v>
      </x:c>
      <x:c r="O7" s="146" t="str">
        <x:v>Capital</x:v>
      </x:c>
      <x:c r="P7" s="146" t="str">
        <x:v>Aumento</x:v>
      </x:c>
      <x:c r="Q7" s="175" t="n">
        <x:f>M8</x:f>
        <x:v>1.7932958746518497</x:v>
      </x:c>
      <x:c r="R7" s="175" t="n">
        <x:f>R6+Q7</x:f>
        <x:v>3.5251325702197334</x:v>
      </x:c>
    </x:row>
    <x:row r="8">
      <x:c r="A8" s="146" t="n">
        <x:v>2007</x:v>
      </x:c>
      <x:c r="B8" s="167" t="n">
        <x:v>6.123723715834383</x:v>
      </x:c>
      <x:c r="C8" s="167" t="n">
        <x:v>6.004300720958763</x:v>
      </x:c>
      <x:c r="D8" s="167" t="n">
        <x:v>2.801600774611273</x:v>
      </x:c>
      <x:c r="E8" s="167" t="n">
        <x:v>8.805901495570035</x:v>
      </x:c>
      <x:c r="F8" s="167" t="n">
        <x:v>-2.682177779735652</x:v>
      </x:c>
      <x:c r="G8" s="175" t="n">
        <x:f>G7*EXP(B8/100)</x:f>
        <x:v>118.3202707383348</x:v>
      </x:c>
      <x:c r="H8" s="175" t="n">
        <x:f>H7*EXP(F8/100)</x:f>
        <x:v>101.23618916430267</x:v>
      </x:c>
      <x:c r="I8" s="175" t="n">
        <x:f>I7*EXP((B8+1)/100)</x:f>
        <x:v>121.92365944092472</x:v>
      </x:c>
      <x:c r="J8" s="176" t="n">
        <x:f>I8/G8-1</x:f>
        <x:v>0.030454533953516938</x:v>
      </x:c>
      <x:c r="L8" s="146" t="str">
        <x:v>Contribución anualizada capital (pp)</x:v>
      </x:c>
      <x:c r="M8" s="175" t="n">
        <x:f>AVERAGE(D6:D26)</x:f>
        <x:v>1.7932958746518497</x:v>
      </x:c>
      <x:c r="O8" s="177" t="str">
        <x:v>Crecimiento sin PTF</x:v>
      </x:c>
      <x:c r="P8" s="177" t="str">
        <x:v>Total</x:v>
      </x:c>
      <x:c r="Q8" s="178" t="n">
        <x:f>M9</x:f>
        <x:v>3.525132570219733</x:v>
      </x:c>
      <x:c r="R8" s="178" t="n">
        <x:f>Q8</x:f>
        <x:v>3.525132570219733</x:v>
      </x:c>
    </x:row>
    <x:row r="9">
      <x:c r="A9" s="164" t="n">
        <x:v>2008</x:v>
      </x:c>
      <x:c r="B9" s="166" t="n">
        <x:v>3.108944787618228</x:v>
      </x:c>
      <x:c r="C9" s="166" t="n">
        <x:v>2.092131742368767</x:v>
      </x:c>
      <x:c r="D9" s="166" t="n">
        <x:v>2.670913951553199</x:v>
      </x:c>
      <x:c r="E9" s="166" t="n">
        <x:v>4.763045693921966</x:v>
      </x:c>
      <x:c r="F9" s="166" t="n">
        <x:v>-1.654100906303738</x:v>
      </x:c>
      <x:c r="G9" s="173" t="n">
        <x:f>G8*EXP(B9/100)</x:f>
        <x:v>122.05656129443499</x:v>
      </x:c>
      <x:c r="H9" s="173" t="n">
        <x:f>H8*EXP(F9/100)</x:f>
        <x:v>99.57541375854366</x:v>
      </x:c>
      <x:c r="I9" s="173" t="n">
        <x:f>I8*EXP((B9+1)/100)</x:f>
        <x:v>127.03778405612155</x:v>
      </x:c>
      <x:c r="J9" s="174" t="n">
        <x:f>I9/G9-1</x:f>
        <x:v>0.04081077419238821</x:v>
      </x:c>
      <x:c r="L9" s="146" t="str">
        <x:v>Contribución anualizada factores (pp)</x:v>
      </x:c>
      <x:c r="M9" s="175" t="n">
        <x:f>AVERAGE(E6:E26)</x:f>
        <x:v>3.525132570219733</x:v>
      </x:c>
      <x:c r="O9" s="146" t="str">
        <x:v>PTF</x:v>
      </x:c>
      <x:c r="P9" s="146" t="str">
        <x:v>Disminución</x:v>
      </x:c>
      <x:c r="Q9" s="175" t="n">
        <x:f>M10</x:f>
        <x:v>-0.1374481563250037</x:v>
      </x:c>
      <x:c r="R9" s="175" t="n">
        <x:f>R8+Q9</x:f>
        <x:v>3.3876844138947293</x:v>
      </x:c>
    </x:row>
    <x:row r="10">
      <x:c r="A10" s="146" t="n">
        <x:v>2009</x:v>
      </x:c>
      <x:c r="B10" s="167" t="n">
        <x:v>1.316519352323268</x:v>
      </x:c>
      <x:c r="C10" s="167" t="n">
        <x:v>0.3362722285178719</x:v>
      </x:c>
      <x:c r="D10" s="167" t="n">
        <x:v>2.032079730134178</x:v>
      </x:c>
      <x:c r="E10" s="167" t="n">
        <x:v>2.36835195865205</x:v>
      </x:c>
      <x:c r="F10" s="167" t="n">
        <x:v>-1.051832606328781</x:v>
      </x:c>
      <x:c r="G10" s="175" t="n">
        <x:f>G9*EXP(B10/100)</x:f>
        <x:v>123.67408367961073</x:v>
      </x:c>
      <x:c r="H10" s="175" t="n">
        <x:f>H9*EXP(F10/100)</x:f>
        <x:v>98.53353609889173</x:v>
      </x:c>
      <x:c r="I10" s="175" t="n">
        <x:f>I9*EXP((B10+1)/100)</x:f>
        <x:v>130.01498954316452</x:v>
      </x:c>
      <x:c r="J10" s="176" t="n">
        <x:f>I10/G10-1</x:f>
        <x:v>0.05127109637602412</x:v>
      </x:c>
      <x:c r="L10" s="146" t="str">
        <x:v>Crecimiento anualizado PTF (%)</x:v>
      </x:c>
      <x:c r="M10" s="175" t="n">
        <x:f>AVERAGE(F6:F26)</x:f>
        <x:v>-0.1374481563250037</x:v>
      </x:c>
      <x:c r="O10" s="183" t="str">
        <x:v>Crecimiento observado</x:v>
      </x:c>
      <x:c r="P10" s="183" t="str">
        <x:v>Total</x:v>
      </x:c>
      <x:c r="Q10" s="184" t="n">
        <x:f>M6</x:f>
        <x:v>3.3876844138947293</x:v>
      </x:c>
      <x:c r="R10" s="184" t="n">
        <x:f>Q10</x:f>
        <x:v>3.3876844138947293</x:v>
      </x:c>
    </x:row>
    <x:row r="11">
      <x:c r="A11" s="164" t="n">
        <x:v>2010</x:v>
      </x:c>
      <x:c r="B11" s="166" t="n">
        <x:v>4.251740603481142</x:v>
      </x:c>
      <x:c r="C11" s="166" t="n">
        <x:v>3.762094969734255</x:v>
      </x:c>
      <x:c r="D11" s="166" t="n">
        <x:v>2.192407430007294</x:v>
      </x:c>
      <x:c r="E11" s="166" t="n">
        <x:v>5.954502399741549</x:v>
      </x:c>
      <x:c r="F11" s="166" t="n">
        <x:v>-1.702761796260407</x:v>
      </x:c>
      <x:c r="G11" s="173" t="n">
        <x:f>G10*EXP(B11/100)</x:f>
        <x:v>129.04577082423856</x:v>
      </x:c>
      <x:c r="H11" s="173" t="n">
        <x:f>H10*EXP(F11/100)</x:f>
        <x:v>96.86994835281602</x:v>
      </x:c>
      <x:c r="I11" s="173" t="n">
        <x:f>I10*EXP((B11+1)/100)</x:f>
        <x:v>137.02551563829337</x:v>
      </x:c>
      <x:c r="J11" s="174" t="n">
        <x:f>I11/G11-1</x:f>
        <x:v>0.061836546545359417</x:v>
      </x:c>
      <x:c r="L11" s="146" t="str">
        <x:v>Crecimiento acumulado VAB (%)</x:v>
      </x:c>
      <x:c r="M11" s="176" t="n">
        <x:f>G26/100-1</x:f>
        <x:v>1.0368688003897093</x:v>
      </x:c>
    </x:row>
    <x:row r="12">
      <x:c r="A12" s="146" t="n">
        <x:v>2011</x:v>
      </x:c>
      <x:c r="B12" s="167" t="n">
        <x:v>6.487781837889696</x:v>
      </x:c>
      <x:c r="C12" s="167" t="n">
        <x:v>3.001931754883321</x:v>
      </x:c>
      <x:c r="D12" s="167" t="n">
        <x:v>3.021249438718157</x:v>
      </x:c>
      <x:c r="E12" s="167" t="n">
        <x:v>6.023181193601478</x:v>
      </x:c>
      <x:c r="F12" s="167" t="n">
        <x:v>0.4646006442882184</x:v>
      </x:c>
      <x:c r="G12" s="175" t="n">
        <x:f>G11*EXP(B12/100)</x:f>
        <x:v>137.69553400231214</x:v>
      </x:c>
      <x:c r="H12" s="175" t="n">
        <x:f>H11*EXP(F12/100)</x:f>
        <x:v>97.32105386510325</x:v>
      </x:c>
      <x:c r="I12" s="175" t="n">
        <x:f>I11*EXP((B12+1)/100)</x:f>
        <x:v>147.6795867396479</x:v>
      </x:c>
      <x:c r="J12" s="176" t="n">
        <x:f>I12/G12-1</x:f>
        <x:v>0.07250818125421632</x:v>
      </x:c>
      <x:c r="L12" s="146" t="str">
        <x:v>Crecimiento acumulado PTF (%)</x:v>
      </x:c>
      <x:c r="M12" s="176" t="n">
        <x:f>H26/100-1</x:f>
        <x:v>-0.028451523528281952</x:v>
      </x:c>
    </x:row>
    <x:row r="13">
      <x:c r="A13" s="164" t="n">
        <x:v>2012</x:v>
      </x:c>
      <x:c r="B13" s="166" t="n">
        <x:v>3.786287385637683</x:v>
      </x:c>
      <x:c r="C13" s="166" t="n">
        <x:v>1.195842275249589</x:v>
      </x:c>
      <x:c r="D13" s="166" t="n">
        <x:v>3.041367330419819</x:v>
      </x:c>
      <x:c r="E13" s="166" t="n">
        <x:v>4.237209605669408</x:v>
      </x:c>
      <x:c r="F13" s="166" t="n">
        <x:v>-0.4509222200317248</x:v>
      </x:c>
      <x:c r="G13" s="173" t="n">
        <x:f>G12*EXP(B13/100)</x:f>
        <x:v>143.0090401733002</x:v>
      </x:c>
      <x:c r="H13" s="173" t="n">
        <x:f>H12*EXP(F13/100)</x:f>
        <x:v>96.88319954158501</x:v>
      </x:c>
      <x:c r="I13" s="173" t="n">
        <x:f>I12*EXP((B13+1)/100)</x:f>
        <x:v>154.91984378034473</x:v>
      </x:c>
      <x:c r="J13" s="174" t="n">
        <x:f>I13/G13-1</x:f>
        <x:v>0.08328706767495864</x:v>
      </x:c>
      <x:c r="L13" s="146" t="str">
        <x:v>Crecimiento VAB contrafactual (%)</x:v>
      </x:c>
      <x:c r="M13" s="175" t="n">
        <x:f>M6+1</x:f>
        <x:v>4.387684413894729</x:v>
      </x:c>
    </x:row>
    <x:row r="14">
      <x:c r="A14" s="146" t="n">
        <x:v>2013</x:v>
      </x:c>
      <x:c r="B14" s="167" t="n">
        <x:v>5.185177952081458</x:v>
      </x:c>
      <x:c r="C14" s="167" t="n">
        <x:v>1.866784688805891</x:v>
      </x:c>
      <x:c r="D14" s="167" t="n">
        <x:v>2.858223636555204</x:v>
      </x:c>
      <x:c r="E14" s="167" t="n">
        <x:v>4.725008325361095</x:v>
      </x:c>
      <x:c r="F14" s="167" t="n">
        <x:v>0.4601696267203639</x:v>
      </x:c>
      <x:c r="G14" s="175" t="n">
        <x:f>G13*EXP(B14/100)</x:f>
        <x:v>150.6199272662897</x:v>
      </x:c>
      <x:c r="H14" s="175" t="n">
        <x:f>H13*EXP(F14/100)</x:f>
        <x:v>97.33005395487886</x:v>
      </x:c>
      <x:c r="I14" s="175" t="n">
        <x:f>I13*EXP((B14+1)/100)</x:f>
        <x:v>164.80445102832343</x:v>
      </x:c>
      <x:c r="J14" s="176" t="n">
        <x:f>I14/G14-1</x:f>
        <x:v>0.09417428370521042</x:v>
      </x:c>
      <x:c r="L14" s="146" t="str">
        <x:v>Brecha de nivel en 2025 (%)</x:v>
      </x:c>
      <x:c r="M14" s="176" t="n">
        <x:f>J26</x:f>
        <x:v>0.23367805995674318</x:v>
      </x:c>
    </x:row>
    <x:row r="15">
      <x:c r="A15" s="164" t="n">
        <x:v>2014</x:v>
      </x:c>
      <x:c r="B15" s="166" t="n">
        <x:v>4.359624929680058</x:v>
      </x:c>
      <x:c r="C15" s="166" t="n">
        <x:v>3.006844215739055</x:v>
      </x:c>
      <x:c r="D15" s="166" t="n">
        <x:v>2.767127565302832</x:v>
      </x:c>
      <x:c r="E15" s="166" t="n">
        <x:v>5.773971781041887</x:v>
      </x:c>
      <x:c r="F15" s="166" t="n">
        <x:v>-1.41434685136183</x:v>
      </x:c>
      <x:c r="G15" s="173" t="n">
        <x:f>G14*EXP(B15/100)</x:f>
        <x:v>157.33163070591567</x:v>
      </x:c>
      <x:c r="H15" s="173" t="n">
        <x:f>H14*EXP(F15/100)</x:f>
        <x:v>95.9631585085022</x:v>
      </x:c>
      <x:c r="I15" s="173" t="n">
        <x:f>I14*EXP((B15+1)/100)</x:f>
        <x:v>173.8783427495956</x:v>
      </x:c>
      <x:c r="J15" s="174" t="n">
        <x:f>I15/G15-1</x:f>
        <x:v>0.10517091807564771</x:v>
      </x:c>
    </x:row>
    <x:row r="16">
      <x:c r="A16" s="146" t="n">
        <x:v>2015</x:v>
      </x:c>
      <x:c r="B16" s="167" t="n">
        <x:v>3.075166148242378</x:v>
      </x:c>
      <x:c r="C16" s="167" t="n">
        <x:v>0.4800165147836954</x:v>
      </x:c>
      <x:c r="D16" s="167" t="n">
        <x:v>1.822871445853548</x:v>
      </x:c>
      <x:c r="E16" s="167" t="n">
        <x:v>2.302887960637243</x:v>
      </x:c>
      <x:c r="F16" s="167" t="n">
        <x:v>0.7722781876051343</x:v>
      </x:c>
      <x:c r="G16" s="175" t="n">
        <x:f>G15*EXP(B16/100)</x:f>
        <x:v>162.24499968987004</x:v>
      </x:c>
      <x:c r="H16" s="175" t="n">
        <x:f>H15*EXP(F16/100)</x:f>
        <x:v>96.70713011740956</x:v>
      </x:c>
      <x:c r="I16" s="175" t="n">
        <x:f>I15*EXP((B16+1)/100)</x:f>
        <x:v>181.11053519540835</x:v>
      </x:c>
      <x:c r="J16" s="176" t="n">
        <x:f>I16/G16-1</x:f>
        <x:v>0.11627807045887151</x:v>
      </x:c>
    </x:row>
    <x:row r="17">
      <x:c r="A17" s="164" t="n">
        <x:v>2016</x:v>
      </x:c>
      <x:c r="B17" s="166" t="n">
        <x:v>2.195318186439531</x:v>
      </x:c>
      <x:c r="C17" s="166" t="n">
        <x:v>1.774041005522302</x:v>
      </x:c>
      <x:c r="D17" s="166" t="n">
        <x:v>1.581365448962117</x:v>
      </x:c>
      <x:c r="E17" s="166" t="n">
        <x:v>3.355406454484419</x:v>
      </x:c>
      <x:c r="F17" s="166" t="n">
        <x:v>-1.160088268044888</x:v>
      </x:c>
      <x:c r="G17" s="173" t="n">
        <x:f>G16*EXP(B17/100)</x:f>
        <x:v>165.8461777037755</x:v>
      </x:c>
      <x:c r="H17" s="173" t="n">
        <x:f>H16*EXP(F17/100)</x:f>
        <x:v>95.59172440127315</x:v>
      </x:c>
      <x:c r="I17" s="173" t="n">
        <x:f>I16*EXP((B17+1)/100)</x:f>
        <x:v>186.99104320748057</x:v>
      </x:c>
      <x:c r="J17" s="174" t="n">
        <x:f>I17/G17-1</x:f>
        <x:v>0.12749685157937596</x:v>
      </x:c>
    </x:row>
    <x:row r="18">
      <x:c r="A18" s="146" t="n">
        <x:v>2017</x:v>
      </x:c>
      <x:c r="B18" s="167" t="n">
        <x:v>1.347892270065693</x:v>
      </x:c>
      <x:c r="C18" s="167" t="n">
        <x:v>-0.3278722412446278</x:v>
      </x:c>
      <x:c r="D18" s="167" t="n">
        <x:v>1.481954365020892</x:v>
      </x:c>
      <x:c r="E18" s="167" t="n">
        <x:v>1.1540821237762642</x:v>
      </x:c>
      <x:c r="F18" s="167" t="n">
        <x:v>0.1938101462894286</x:v>
      </x:c>
      <x:c r="G18" s="175" t="n">
        <x:f>G17*EXP(B18/100)</x:f>
        <x:v>168.09673901053802</x:v>
      </x:c>
      <x:c r="H18" s="175" t="n">
        <x:f>H17*EXP(F18/100)</x:f>
        <x:v>95.77717051081565</x:v>
      </x:c>
      <x:c r="I18" s="175" t="n">
        <x:f>I17*EXP((B18+1)/100)</x:f>
        <x:v>191.43333752951196</x:v>
      </x:c>
      <x:c r="J18" s="176" t="n">
        <x:f>I18/G18-1</x:f>
        <x:v>0.13882838332462222</x:v>
      </x:c>
    </x:row>
    <x:row r="19">
      <x:c r="A19" s="164" t="n">
        <x:v>2018</x:v>
      </x:c>
      <x:c r="B19" s="166" t="n">
        <x:v>2.464298442475477</x:v>
      </x:c>
      <x:c r="C19" s="166" t="n">
        <x:v>1.042508114706216</x:v>
      </x:c>
      <x:c r="D19" s="166" t="n">
        <x:v>1.186676561440576</x:v>
      </x:c>
      <x:c r="E19" s="166" t="n">
        <x:v>2.229184676146792</x:v>
      </x:c>
      <x:c r="F19" s="166" t="n">
        <x:v>0.2351137663286853</x:v>
      </x:c>
      <x:c r="G19" s="173" t="n">
        <x:f>G18*EXP(B19/100)</x:f>
        <x:v>172.29060680685717</x:v>
      </x:c>
      <x:c r="H19" s="173" t="n">
        <x:f>H18*EXP(F19/100)</x:f>
        <x:v>96.00262075210887</x:v>
      </x:c>
      <x:c r="I19" s="173" t="n">
        <x:f>I18*EXP((B19+1)/100)</x:f>
        <x:v>198.18137079914052</x:v>
      </x:c>
      <x:c r="J19" s="174" t="n">
        <x:f>I19/G19-1</x:f>
        <x:v>0.15027379885722758</x:v>
      </x:c>
    </x:row>
    <x:row r="20">
      <x:c r="A20" s="146" t="n">
        <x:v>2019</x:v>
      </x:c>
      <x:c r="B20" s="167" t="n">
        <x:v>3.021654338725109</x:v>
      </x:c>
      <x:c r="C20" s="167" t="n">
        <x:v>1.4493368153947</x:v>
      </x:c>
      <x:c r="D20" s="167" t="n">
        <x:v>1.342865800109361</x:v>
      </x:c>
      <x:c r="E20" s="167" t="n">
        <x:v>2.7922026155040607</x:v>
      </x:c>
      <x:c r="F20" s="167" t="n">
        <x:v>0.2294517232210479</x:v>
      </x:c>
      <x:c r="G20" s="175" t="n">
        <x:f>G19*EXP(B20/100)</x:f>
        <x:v>177.5760857057591</x:v>
      </x:c>
      <x:c r="H20" s="175" t="n">
        <x:f>H19*EXP(F20/100)</x:f>
        <x:v>96.22315333090795</x:v>
      </x:c>
      <x:c r="I20" s="175" t="n">
        <x:f>I19*EXP((B20+1)/100)</x:f>
        <x:v>206.31397706260339</x:v>
      </x:c>
      <x:c r="J20" s="176" t="n">
        <x:f>I20/G20-1</x:f>
        <x:v>0.16183424272828328</x:v>
      </x:c>
    </x:row>
    <x:row r="21">
      <x:c r="A21" s="164" t="n">
        <x:v>2020</x:v>
      </x:c>
      <x:c r="B21" s="166" t="n">
        <x:v>-7.529534545817738</x:v>
      </x:c>
      <x:c r="C21" s="166" t="n">
        <x:v>-6.480545177807739</x:v>
      </x:c>
      <x:c r="D21" s="166" t="n">
        <x:v>0.4539249450152346</x:v>
      </x:c>
      <x:c r="E21" s="166" t="n">
        <x:v>-6.026620232792505</x:v>
      </x:c>
      <x:c r="F21" s="166" t="n">
        <x:v>-1.502914313025233</x:v>
      </x:c>
      <x:c r="G21" s="173" t="n">
        <x:f>G20*EXP(B21/100)</x:f>
        <x:v>164.6964073215046</x:v>
      </x:c>
      <x:c r="H21" s="173" t="n">
        <x:f>H20*EXP(F21/100)</x:f>
        <x:v>94.78781475864871</x:v>
      </x:c>
      <x:c r="I21" s="173" t="n">
        <x:f>I20*EXP((B21+1)/100)</x:f>
        <x:v>193.2730244050809</x:v>
      </x:c>
      <x:c r="J21" s="174" t="n">
        <x:f>I21/G21-1</x:f>
        <x:v>0.17351087099181073</x:v>
      </x:c>
    </x:row>
    <x:row r="22">
      <x:c r="A22" s="146" t="n">
        <x:v>2021</x:v>
      </x:c>
      <x:c r="B22" s="167" t="n">
        <x:v>9.705318307300418</x:v>
      </x:c>
      <x:c r="C22" s="167" t="n">
        <x:v>7.412163640979553</x:v>
      </x:c>
      <x:c r="D22" s="167" t="n">
        <x:v>0.9954232489926129</x:v>
      </x:c>
      <x:c r="E22" s="167" t="n">
        <x:v>8.407586889972166</x:v>
      </x:c>
      <x:c r="F22" s="167" t="n">
        <x:v>1.29773141732825</x:v>
      </x:c>
      <x:c r="G22" s="175" t="n">
        <x:f>G21*EXP(B22/100)</x:f>
        <x:v>181.48209642424334</x:v>
      </x:c>
      <x:c r="H22" s="175" t="n">
        <x:f>H21*EXP(F22/100)</x:f>
        <x:v>96.02592228994844</x:v>
      </x:c>
      <x:c r="I22" s="175" t="n">
        <x:f>I21*EXP((B22+1)/100)</x:f>
        <x:v>215.11160931944602</x:v>
      </x:c>
      <x:c r="J22" s="176" t="n">
        <x:f>I22/G22-1</x:f>
        <x:v>0.18530485132036567</x:v>
      </x:c>
    </x:row>
    <x:row r="23">
      <x:c r="A23" s="164" t="n">
        <x:v>2022</x:v>
      </x:c>
      <x:c r="B23" s="166" t="n">
        <x:v>6.077060680150988</x:v>
      </x:c>
      <x:c r="C23" s="166" t="n">
        <x:v>4.398920059048343</x:v>
      </x:c>
      <x:c r="D23" s="166" t="n">
        <x:v>1.545597969425952</x:v>
      </x:c>
      <x:c r="E23" s="166" t="n">
        <x:v>5.9445180284742944</x:v>
      </x:c>
      <x:c r="F23" s="166" t="n">
        <x:v>0.1325426516766949</x:v>
      </x:c>
      <x:c r="G23" s="173" t="n">
        <x:f>G22*EXP(B23/100)</x:f>
        <x:v>192.8528790205208</x:v>
      </x:c>
      <x:c r="H23" s="173" t="n">
        <x:f>H22*EXP(F23/100)</x:f>
        <x:v>96.15328197795739</x:v>
      </x:c>
      <x:c r="I23" s="173" t="n">
        <x:f>I22*EXP((B23+1)/100)</x:f>
        <x:v>230.88681529139737</x:v>
      </x:c>
      <x:c r="J23" s="174" t="n">
        <x:f>I23/G23-1</x:f>
        <x:v>0.19721736312181015</x:v>
      </x:c>
    </x:row>
    <x:row r="24">
      <x:c r="A24" s="146" t="n">
        <x:v>2023</x:v>
      </x:c>
      <x:c r="B24" s="167" t="n">
        <x:v>1.179188364720833</x:v>
      </x:c>
      <x:c r="C24" s="167" t="n">
        <x:v>1.461197345960264</x:v>
      </x:c>
      <x:c r="D24" s="167" t="n">
        <x:v>0.641411790087958</x:v>
      </x:c>
      <x:c r="E24" s="167" t="n">
        <x:v>2.102609136048222</x:v>
      </x:c>
      <x:c r="F24" s="167" t="n">
        <x:v>-0.9234207713273888</x:v>
      </x:c>
      <x:c r="G24" s="175" t="n">
        <x:f>G23*EXP(B24/100)</x:f>
        <x:v>195.14043854206457</x:v>
      </x:c>
      <x:c r="H24" s="175" t="n">
        <x:f>H23*EXP(F24/100)</x:f>
        <x:v>95.26946953396227</x:v>
      </x:c>
      <x:c r="I24" s="175" t="n">
        <x:f>I23*EXP((B24+1)/100)</x:f>
        <x:v>235.97349679365124</x:v>
      </x:c>
      <x:c r="J24" s="176" t="n">
        <x:f>I24/G24-1</x:f>
        <x:v>0.2092495976572517</x:v>
      </x:c>
    </x:row>
    <x:row r="25">
      <x:c r="A25" s="164" t="n">
        <x:v>2024</x:v>
      </x:c>
      <x:c r="B25" s="166" t="n">
        <x:v>1.630410050068724</x:v>
      </x:c>
      <x:c r="C25" s="166" t="n">
        <x:v>-0.22204591126918471</x:v>
      </x:c>
      <x:c r="D25" s="166" t="n">
        <x:v>0.6464578209732394</x:v>
      </x:c>
      <x:c r="E25" s="166" t="n">
        <x:v>0.42441190970405474</x:v>
      </x:c>
      <x:c r="F25" s="166" t="n">
        <x:v>1.205998140364669</x:v>
      </x:c>
      <x:c r="G25" s="173" t="n">
        <x:f>G24*EXP(B25/100)</x:f>
        <x:v>198.3481058732227</x:v>
      </x:c>
      <x:c r="H25" s="173" t="n">
        <x:f>H24*EXP(F25/100)</x:f>
        <x:v>96.42537364609807</x:v>
      </x:c>
      <x:c r="I25" s="173" t="n">
        <x:f>I24*EXP((B25+1)/100)</x:f>
        <x:v>242.26292358939958</x:v>
      </x:c>
      <x:c r="J25" s="174" t="n">
        <x:f>I25/G25-1</x:f>
        <x:v>0.22140275816016985</x:v>
      </x:c>
    </x:row>
    <x:row r="26">
      <x:c r="A26" s="146" t="n">
        <x:v>2025</x:v>
      </x:c>
      <x:c r="B26" s="167" t="n">
        <x:v>2.656031540781504</x:v>
      </x:c>
      <x:c r="C26" s="167" t="n">
        <x:v>1.1136253035291168</x:v>
      </x:c>
      <x:c r="D26" s="167" t="n">
        <x:v>0.788736829140926</x:v>
      </x:c>
      <x:c r="E26" s="167" t="n">
        <x:v>1.9023621326700428</x:v>
      </x:c>
      <x:c r="F26" s="167" t="n">
        <x:v>0.7536694081114617</x:v>
      </x:c>
      <x:c r="G26" s="175" t="n">
        <x:f>G25*EXP(B26/100)</x:f>
        <x:v>203.68688003897094</x:v>
      </x:c>
      <x:c r="H26" s="175" t="n">
        <x:f>H25*EXP(F26/100)</x:f>
        <x:v>97.1548476471718</x:v>
      </x:c>
      <x:c r="I26" s="175" t="n">
        <x:f>I25*EXP((B26+1)/100)</x:f>
        <x:v>251.28403500511956</x:v>
      </x:c>
      <x:c r="J26" s="176" t="n">
        <x:f>I26/G26-1</x:f>
        <x:v>0.23367805995674318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3.130000114440918" hidden="0" customWidth="1"/>
    <x:col min="3" max="3" width="10.630000114440918" hidden="0" customWidth="1"/>
    <x:col min="4" max="4" width="11.880000114440918" hidden="0" customWidth="1"/>
    <x:col min="5" max="5" width="13.130000114440918" hidden="0" customWidth="1"/>
    <x:col min="6" max="6" width="12.5" hidden="0" customWidth="1"/>
    <x:col min="7" max="7" width="15" hidden="0" customWidth="1"/>
    <x:col min="8" max="8" width="18.1299991607666" hidden="0" customWidth="1"/>
    <x:col min="9" max="9" width="11.25" hidden="0" customWidth="1"/>
    <x:col min="10" max="10" width="19.3799991607666" hidden="0" customWidth="1"/>
    <x:col min="11" max="11" width="15" hidden="0" customWidth="1"/>
    <x:col min="12" max="12" width="2.5" hidden="0" customWidth="1"/>
    <x:col min="13" max="13" width="25.6299991607666" hidden="0" customWidth="1"/>
    <x:col min="14" max="14" width="18.1299991607666" hidden="0" customWidth="1"/>
    <x:col min="15" max="15" width="15" hidden="0" customWidth="1"/>
    <x:col min="16" max="16" width="13.75" hidden="0" customWidth="1"/>
    <x:col min="17" max="17" width="11.880000114440918" hidden="0" customWidth="1"/>
  </x:cols>
  <x:sheetData>
    <x:row r="1" ht="25.5" customHeight="1">
      <x:c r="A1" s="130" t="str">
        <x:v>Evolución de la PTF por actividad económica: enfoque de producción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</x:row>
    <x:row r="2" ht="22.5" customHeight="1">
      <x:c r="A2" s="134" t="str">
        <x:v>Las 20 tasas del DANE conectan el índice de 2004 con el de 2024. El total de la economía se presenta en la última columna.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  <x:c r="Q2" s="134"/>
    </x:row>
    <x:row r="5" ht="25.5" customHeight="1">
      <x:c r="A5" s="140" t="str">
        <x:v>Año</x:v>
      </x:c>
      <x:c r="B5" s="140" t="str">
        <x:v>Agropecuario</x:v>
      </x:c>
      <x:c r="C5" s="140" t="str">
        <x:v>Minería</x:v>
      </x:c>
      <x:c r="D5" s="140" t="str">
        <x:v>Manufactura</x:v>
      </x:c>
      <x:c r="E5" s="140" t="str">
        <x:v>Servicios públicos</x:v>
      </x:c>
      <x:c r="F5" s="140" t="str">
        <x:v>Construcción</x:v>
      </x:c>
      <x:c r="G5" s="140" t="str">
        <x:v>Comercio y hotelería</x:v>
      </x:c>
      <x:c r="H5" s="140" t="str">
        <x:v>Transporte y comunicaciones</x:v>
      </x:c>
      <x:c r="I5" s="140" t="str">
        <x:v>Finanzas</x:v>
      </x:c>
      <x:c r="J5" s="140" t="str">
        <x:v>Servicios sociales y personales</x:v>
      </x:c>
      <x:c r="K5" s="140" t="str">
        <x:v>Total de la economía</x:v>
      </x:c>
      <x:c r="M5" s="140" t="str">
        <x:v>Actividad</x:v>
      </x:c>
      <x:c r="N5" s="140" t="str">
        <x:v>Crecimiento acumulado (%)</x:v>
      </x:c>
      <x:c r="O5" s="140" t="str">
        <x:v>Tasa anualizada (%)</x:v>
      </x:c>
      <x:c r="P5" s="140" t="str">
        <x:v>Años con PTF positiva</x:v>
      </x:c>
      <x:c r="Q5" s="140" t="str">
        <x:v>Índice 2024</x:v>
      </x:c>
    </x:row>
    <x:row r="6">
      <x:c r="A6" s="145" t="n">
        <x:v>2005</x:v>
      </x:c>
      <x:c r="B6" s="165" t="n">
        <x:v>-4.609292480816046</x:v>
      </x:c>
      <x:c r="C6" s="165" t="n">
        <x:v>4.584495150191688</x:v>
      </x:c>
      <x:c r="D6" s="165" t="n">
        <x:v>1.447687090475098</x:v>
      </x:c>
      <x:c r="E6" s="165" t="n">
        <x:v>0.3431174026645718</x:v>
      </x:c>
      <x:c r="F6" s="165" t="n">
        <x:v>6.347841538002023</x:v>
      </x:c>
      <x:c r="G6" s="165" t="n">
        <x:v>1.328376354438846</x:v>
      </x:c>
      <x:c r="H6" s="165" t="n">
        <x:v>2.044413994839967</x:v>
      </x:c>
      <x:c r="I6" s="165" t="n">
        <x:v>-3.458526257493652</x:v>
      </x:c>
      <x:c r="J6" s="165" t="n">
        <x:v>-3.68185866904421</x:v>
      </x:c>
      <x:c r="K6" s="165" t="n">
        <x:v>0.07321135025945857</x:v>
      </x:c>
      <x:c r="M6" s="145" t="str">
        <x:v>Minería</x:v>
      </x:c>
      <x:c r="N6" s="172" t="n">
        <x:f>C$50/100-1</x:f>
        <x:v>-0.3208605180394799</x:v>
      </x:c>
      <x:c r="O6" s="171" t="n">
        <x:f>AVERAGE(C$6:C$25)</x:f>
        <x:v>-1.9346437494875537</x:v>
      </x:c>
      <x:c r="P6" s="193" t="n">
        <x:f>COUNTIF(C$6:C$25,"&gt;0")</x:f>
        <x:v>3</x:v>
      </x:c>
      <x:c r="Q6" s="171" t="n">
        <x:f>C$50</x:f>
        <x:v>67.913948196052</x:v>
      </x:c>
    </x:row>
    <x:row r="7">
      <x:c r="A7" s="164" t="n">
        <x:v>2006</x:v>
      </x:c>
      <x:c r="B7" s="166" t="n">
        <x:v>2.731897624932886</x:v>
      </x:c>
      <x:c r="C7" s="166" t="n">
        <x:v>-3.132700869851751</x:v>
      </x:c>
      <x:c r="D7" s="166" t="n">
        <x:v>2.553355351769602</x:v>
      </x:c>
      <x:c r="E7" s="166" t="n">
        <x:v>1.298625051503958</x:v>
      </x:c>
      <x:c r="F7" s="166" t="n">
        <x:v>2.202489191980401</x:v>
      </x:c>
      <x:c r="G7" s="166" t="n">
        <x:v>4.393378962035465</x:v>
      </x:c>
      <x:c r="H7" s="166" t="n">
        <x:v>0.844033398247376</x:v>
      </x:c>
      <x:c r="I7" s="166" t="n">
        <x:v>1.429880416572186</x:v>
      </x:c>
      <x:c r="J7" s="166" t="n">
        <x:v>3.130162672033309</x:v>
      </x:c>
      <x:c r="K7" s="166" t="n">
        <x:v>2.205996411408322</x:v>
      </x:c>
      <x:c r="M7" s="164" t="str">
        <x:v>Finanzas</x:v>
      </x:c>
      <x:c r="N7" s="174" t="n">
        <x:f>I$50/100-1</x:f>
        <x:v>-0.19008198002888832</x:v>
      </x:c>
      <x:c r="O7" s="173" t="n">
        <x:f>AVERAGE(I$6:I$25)</x:f>
        <x:v>-1.0541112317496437</x:v>
      </x:c>
      <x:c r="P7" s="194" t="n">
        <x:f>COUNTIF(I$6:I$25,"&gt;0")</x:f>
        <x:v>8</x:v>
      </x:c>
      <x:c r="Q7" s="173" t="n">
        <x:f>I$50</x:f>
        <x:v>80.99180199711117</x:v>
      </x:c>
    </x:row>
    <x:row r="8">
      <x:c r="A8" s="146" t="n">
        <x:v>2007</x:v>
      </x:c>
      <x:c r="B8" s="167" t="n">
        <x:v>2.323206842531002</x:v>
      </x:c>
      <x:c r="C8" s="167" t="n">
        <x:v>-4.324306909079369</x:v>
      </x:c>
      <x:c r="D8" s="167" t="n">
        <x:v>0.007352163992550231</x:v>
      </x:c>
      <x:c r="E8" s="167" t="n">
        <x:v>0.4591468373219634</x:v>
      </x:c>
      <x:c r="F8" s="167" t="n">
        <x:v>-0.7637413976546483</x:v>
      </x:c>
      <x:c r="G8" s="167" t="n">
        <x:v>0.1205458813605063</x:v>
      </x:c>
      <x:c r="H8" s="167" t="n">
        <x:v>-1.266182576094153</x:v>
      </x:c>
      <x:c r="I8" s="167" t="n">
        <x:v>-5.517098662999077</x:v>
      </x:c>
      <x:c r="J8" s="167" t="n">
        <x:v>-2.698907028364784</x:v>
      </x:c>
      <x:c r="K8" s="167" t="n">
        <x:v>-1.386751411319521</x:v>
      </x:c>
      <x:c r="M8" s="146" t="str">
        <x:v>Construcción</x:v>
      </x:c>
      <x:c r="N8" s="176" t="n">
        <x:f>F$50/100-1</x:f>
        <x:v>-0.11061697930961334</x:v>
      </x:c>
      <x:c r="O8" s="175" t="n">
        <x:f>AVERAGE(F$6:F$25)</x:f>
        <x:v>-0.5861364591695346</x:v>
      </x:c>
      <x:c r="P8" s="195" t="n">
        <x:f>COUNTIF(F$6:F$25,"&gt;0")</x:f>
        <x:v>8</x:v>
      </x:c>
      <x:c r="Q8" s="175" t="n">
        <x:f>F$50</x:f>
        <x:v>88.93830206903867</x:v>
      </x:c>
    </x:row>
    <x:row r="9">
      <x:c r="A9" s="164" t="n">
        <x:v>2008</x:v>
      </x:c>
      <x:c r="B9" s="166" t="n">
        <x:v>-2.892545664586325</x:v>
      </x:c>
      <x:c r="C9" s="166" t="n">
        <x:v>-2.773676452773486</x:v>
      </x:c>
      <x:c r="D9" s="166" t="n">
        <x:v>-1.336646828157722</x:v>
      </x:c>
      <x:c r="E9" s="166" t="n">
        <x:v>-1.450842986662372</x:v>
      </x:c>
      <x:c r="F9" s="166" t="n">
        <x:v>2.942703423551406</x:v>
      </x:c>
      <x:c r="G9" s="166" t="n">
        <x:v>-0.3059487509157224</x:v>
      </x:c>
      <x:c r="H9" s="166" t="n">
        <x:v>-0.7215951766155886</x:v>
      </x:c>
      <x:c r="I9" s="166" t="n">
        <x:v>-3.130106145545206</x:v>
      </x:c>
      <x:c r="J9" s="166" t="n">
        <x:v>1.422997835512152</x:v>
      </x:c>
      <x:c r="K9" s="166" t="n">
        <x:v>-0.8025167062472658</x:v>
      </x:c>
      <x:c r="M9" s="164" t="str">
        <x:v>Servicios públicos</x:v>
      </x:c>
      <x:c r="N9" s="174" t="n">
        <x:f>E$50/100-1</x:f>
        <x:v>-0.05527701252750761</x:v>
      </x:c>
      <x:c r="O9" s="173" t="n">
        <x:f>AVERAGE(E$6:E$25)</x:f>
        <x:v>-0.2843176470529272</x:v>
      </x:c>
      <x:c r="P9" s="194" t="n">
        <x:f>COUNTIF(E$6:E$25,"&gt;0")</x:f>
        <x:v>8</x:v>
      </x:c>
      <x:c r="Q9" s="173" t="n">
        <x:f>E$50</x:f>
        <x:v>94.47229874724924</x:v>
      </x:c>
    </x:row>
    <x:row r="10">
      <x:c r="A10" s="146" t="n">
        <x:v>2009</x:v>
      </x:c>
      <x:c r="B10" s="167" t="n">
        <x:v>-2.590852329266908</x:v>
      </x:c>
      <x:c r="C10" s="167" t="n">
        <x:v>7.47984825443352</x:v>
      </x:c>
      <x:c r="D10" s="167" t="n">
        <x:v>-2.243911980422449</x:v>
      </x:c>
      <x:c r="E10" s="167" t="n">
        <x:v>-0.1068556254839663</x:v>
      </x:c>
      <x:c r="F10" s="167" t="n">
        <x:v>-1.273374282883108</x:v>
      </x:c>
      <x:c r="G10" s="167" t="n">
        <x:v>-0.8667333601195416</x:v>
      </x:c>
      <x:c r="H10" s="167" t="n">
        <x:v>-4.614811382471736</x:v>
      </x:c>
      <x:c r="I10" s="167" t="n">
        <x:v>1.781420136174772</x:v>
      </x:c>
      <x:c r="J10" s="167" t="n">
        <x:v>0.5441217409924994</x:v>
      </x:c>
      <x:c r="K10" s="167" t="n">
        <x:v>-0.5678534418132021</x:v>
      </x:c>
      <x:c r="M10" s="146" t="str">
        <x:v>Manufactura</x:v>
      </x:c>
      <x:c r="N10" s="176" t="n">
        <x:f>D$50/100-1</x:f>
        <x:v>-0.05151134514979072</x:v>
      </x:c>
      <x:c r="O10" s="175" t="n">
        <x:f>AVERAGE(D$6:D$25)</x:f>
        <x:v>-0.26442725413783064</x:v>
      </x:c>
      <x:c r="P10" s="195" t="n">
        <x:f>COUNTIF(D$6:D$25,"&gt;0")</x:f>
        <x:v>5</x:v>
      </x:c>
      <x:c r="Q10" s="175" t="n">
        <x:f>D$50</x:f>
        <x:v>94.84886548502092</x:v>
      </x:c>
    </x:row>
    <x:row r="11">
      <x:c r="A11" s="164" t="n">
        <x:v>2010</x:v>
      </x:c>
      <x:c r="B11" s="166" t="n">
        <x:v>-1.477630430449354</x:v>
      </x:c>
      <x:c r="C11" s="166" t="n">
        <x:v>-1.436831008686941</x:v>
      </x:c>
      <x:c r="D11" s="166" t="n">
        <x:v>-1.13392960469398</x:v>
      </x:c>
      <x:c r="E11" s="166" t="n">
        <x:v>-1.781737834070235</x:v>
      </x:c>
      <x:c r="F11" s="166" t="n">
        <x:v>-4.045150293251145</x:v>
      </x:c>
      <x:c r="G11" s="166" t="n">
        <x:v>-0.6030235193831022</x:v>
      </x:c>
      <x:c r="H11" s="166" t="n">
        <x:v>1.395843991272702</x:v>
      </x:c>
      <x:c r="I11" s="166" t="n">
        <x:v>-0.8755149188567843</x:v>
      </x:c>
      <x:c r="J11" s="166" t="n">
        <x:v>0.1625002093923058</x:v>
      </x:c>
      <x:c r="K11" s="166" t="n">
        <x:v>-0.929584553144964</x:v>
      </x:c>
      <x:c r="M11" s="164" t="str">
        <x:v>Transporte y comunicaciones</x:v>
      </x:c>
      <x:c r="N11" s="174" t="n">
        <x:f>H$50/100-1</x:f>
        <x:v>0.042583650298000375</x:v>
      </x:c>
      <x:c r="O11" s="173" t="n">
        <x:f>AVERAGE(H$6:H$25)</x:f>
        <x:v>0.20850955782880237</x:v>
      </x:c>
      <x:c r="P11" s="194" t="n">
        <x:f>COUNTIF(H$6:H$25,"&gt;0")</x:f>
        <x:v>12</x:v>
      </x:c>
      <x:c r="Q11" s="173" t="n">
        <x:f>H$50</x:f>
        <x:v>104.25836502980003</x:v>
      </x:c>
    </x:row>
    <x:row r="12">
      <x:c r="A12" s="146" t="n">
        <x:v>2011</x:v>
      </x:c>
      <x:c r="B12" s="167" t="n">
        <x:v>1.048826208660588</x:v>
      </x:c>
      <x:c r="C12" s="167" t="n">
        <x:v>0.6739551271593776</x:v>
      </x:c>
      <x:c r="D12" s="167" t="n">
        <x:v>-0.3094782491891603</x:v>
      </x:c>
      <x:c r="E12" s="167" t="n">
        <x:v>-1.885836348836071</x:v>
      </x:c>
      <x:c r="F12" s="167" t="n">
        <x:v>-1.797824699690425</x:v>
      </x:c>
      <x:c r="G12" s="167" t="n">
        <x:v>1.572113705527552</x:v>
      </x:c>
      <x:c r="H12" s="167" t="n">
        <x:v>2.363843860762408</x:v>
      </x:c>
      <x:c r="I12" s="167" t="n">
        <x:v>-0.6831860217051045</x:v>
      </x:c>
      <x:c r="J12" s="167" t="n">
        <x:v>1.07900877130184</x:v>
      </x:c>
      <x:c r="K12" s="167" t="n">
        <x:v>0.2752486512386846</x:v>
      </x:c>
      <x:c r="M12" s="146" t="str">
        <x:v>Servicios sociales y personales</x:v>
      </x:c>
      <x:c r="N12" s="176" t="n">
        <x:f>J$50/100-1</x:f>
        <x:v>0.14156831094000788</x:v>
      </x:c>
      <x:c r="O12" s="175" t="n">
        <x:f>AVERAGE(J$6:J$25)</x:f>
        <x:v>0.6620151416670758</x:v>
      </x:c>
      <x:c r="P12" s="195" t="n">
        <x:f>COUNTIF(J$6:J$25,"&gt;0")</x:f>
        <x:v>14</x:v>
      </x:c>
      <x:c r="Q12" s="175" t="n">
        <x:f>J$50</x:f>
        <x:v>114.1568310940008</x:v>
      </x:c>
    </x:row>
    <x:row r="13">
      <x:c r="A13" s="164" t="n">
        <x:v>2012</x:v>
      </x:c>
      <x:c r="B13" s="166" t="n">
        <x:v>1.952064286352201</x:v>
      </x:c>
      <x:c r="C13" s="166" t="n">
        <x:v>-0.447550476814877</x:v>
      </x:c>
      <x:c r="D13" s="166" t="n">
        <x:v>-0.8681517368122245</x:v>
      </x:c>
      <x:c r="E13" s="166" t="n">
        <x:v>-0.6530209466856807</x:v>
      </x:c>
      <x:c r="F13" s="166" t="n">
        <x:v>-1.587085875840158</x:v>
      </x:c>
      <x:c r="G13" s="166" t="n">
        <x:v>0.5944412202015918</x:v>
      </x:c>
      <x:c r="H13" s="166" t="n">
        <x:v>0.001877170370519821</x:v>
      </x:c>
      <x:c r="I13" s="166" t="n">
        <x:v>-0.8943863385913149</x:v>
      </x:c>
      <x:c r="J13" s="166" t="n">
        <x:v>1.397321476764957</x:v>
      </x:c>
      <x:c r="K13" s="166" t="n">
        <x:v>-0.1579749693463642</x:v>
      </x:c>
      <x:c r="M13" s="164" t="str">
        <x:v>Agropecuario</x:v>
      </x:c>
      <x:c r="N13" s="174" t="n">
        <x:f>B$50/100-1</x:f>
        <x:v>0.21842316702846487</x:v>
      </x:c>
      <x:c r="O13" s="173" t="n">
        <x:f>AVERAGE(B$6:B$25)</x:f>
        <x:v>0.98778768361216</x:v>
      </x:c>
      <x:c r="P13" s="194" t="n">
        <x:f>COUNTIF(B$6:B$25,"&gt;0")</x:f>
        <x:v>15</x:v>
      </x:c>
      <x:c r="Q13" s="173" t="n">
        <x:f>B$50</x:f>
        <x:v>121.84231670284649</x:v>
      </x:c>
    </x:row>
    <x:row r="14">
      <x:c r="A14" s="146" t="n">
        <x:v>2013</x:v>
      </x:c>
      <x:c r="B14" s="167" t="n">
        <x:v>4.197681309931134</x:v>
      </x:c>
      <x:c r="C14" s="167" t="n">
        <x:v>-2.015863651162977</x:v>
      </x:c>
      <x:c r="D14" s="167" t="n">
        <x:v>-0.3658403928904055</x:v>
      </x:c>
      <x:c r="E14" s="167" t="n">
        <x:v>-0.2332157642015922</x:v>
      </x:c>
      <x:c r="F14" s="167" t="n">
        <x:v>2.74464359668742</x:v>
      </x:c>
      <x:c r="G14" s="167" t="n">
        <x:v>1.432043931337711</x:v>
      </x:c>
      <x:c r="H14" s="167" t="n">
        <x:v>3.086188211600319</x:v>
      </x:c>
      <x:c r="I14" s="167" t="n">
        <x:v>-1.923851305058301</x:v>
      </x:c>
      <x:c r="J14" s="167" t="n">
        <x:v>-0.3560353916220773</x:v>
      </x:c>
      <x:c r="K14" s="167" t="n">
        <x:v>0.306614560825448</x:v>
      </x:c>
      <x:c r="M14" s="146" t="str">
        <x:v>Comercio y hotelería</x:v>
      </x:c>
      <x:c r="N14" s="176" t="n">
        <x:f>G$50/100-1</x:f>
        <x:v>0.23168807026714955</x:v>
      </x:c>
      <x:c r="O14" s="175" t="n">
        <x:f>AVERAGE(G$6:G$25)</x:f>
        <x:v>1.0419282166758854</x:v>
      </x:c>
      <x:c r="P14" s="195" t="n">
        <x:f>COUNTIF(G$6:G$25,"&gt;0")</x:f>
        <x:v>15</x:v>
      </x:c>
      <x:c r="Q14" s="175" t="n">
        <x:f>G$50</x:f>
        <x:v>123.16880702671496</x:v>
      </x:c>
    </x:row>
    <x:row r="15">
      <x:c r="A15" s="164" t="n">
        <x:v>2014</x:v>
      </x:c>
      <x:c r="B15" s="166" t="n">
        <x:v>1.787500963451692</x:v>
      </x:c>
      <x:c r="C15" s="166" t="n">
        <x:v>-7.472051244634315</x:v>
      </x:c>
      <x:c r="D15" s="166" t="n">
        <x:v>-0.8482892953277448</x:v>
      </x:c>
      <x:c r="E15" s="166" t="n">
        <x:v>-1.24565312425305</x:v>
      </x:c>
      <x:c r="F15" s="166" t="n">
        <x:v>0.0008095250582940139</x:v>
      </x:c>
      <x:c r="G15" s="166" t="n">
        <x:v>1.952494208810829</x:v>
      </x:c>
      <x:c r="H15" s="166" t="n">
        <x:v>-0.2565072206131145</x:v>
      </x:c>
      <x:c r="I15" s="166" t="n">
        <x:v>0.5090571564940483</x:v>
      </x:c>
      <x:c r="J15" s="166" t="n">
        <x:v>-1.682766849357254</x:v>
      </x:c>
      <x:c r="K15" s="166" t="n">
        <x:v>-0.7006231912463368</x:v>
      </x:c>
      <x:c r="M15" s="183" t="str">
        <x:v>Total de la economía</x:v>
      </x:c>
      <x:c r="N15" s="200" t="n">
        <x:f>K$50/100-1</x:f>
        <x:v>-0.014514146306010334</x:v>
      </x:c>
      <x:c r="O15" s="184" t="n">
        <x:f>AVERAGE(K$6:K$25)</x:f>
        <x:v>-0.07310253468928843</x:v>
      </x:c>
      <x:c r="P15" s="201" t="n">
        <x:f>COUNTIF(K$6:K$25,"&gt;0")</x:f>
        <x:v>11</x:v>
      </x:c>
      <x:c r="Q15" s="184" t="n">
        <x:f>K$50</x:f>
        <x:v>98.54858536939896</x:v>
      </x:c>
    </x:row>
    <x:row r="16">
      <x:c r="A16" s="146" t="n">
        <x:v>2015</x:v>
      </x:c>
      <x:c r="B16" s="167" t="n">
        <x:v>2.762916370718889</x:v>
      </x:c>
      <x:c r="C16" s="167" t="n">
        <x:v>-3.415592255890976</x:v>
      </x:c>
      <x:c r="D16" s="167" t="n">
        <x:v>-1.015543048457428</x:v>
      </x:c>
      <x:c r="E16" s="167" t="n">
        <x:v>-1.543882404429683</x:v>
      </x:c>
      <x:c r="F16" s="167" t="n">
        <x:v>-0.6957646025933855</x:v>
      </x:c>
      <x:c r="G16" s="167" t="n">
        <x:v>3.511944102071161</x:v>
      </x:c>
      <x:c r="H16" s="167" t="n">
        <x:v>-0.8220538651203575</x:v>
      </x:c>
      <x:c r="I16" s="167" t="n">
        <x:v>1.61209709700093</x:v>
      </x:c>
      <x:c r="J16" s="167" t="n">
        <x:v>1.366675099229038</x:v>
      </x:c>
      <x:c r="K16" s="167" t="n">
        <x:v>0.3862721610498867</x:v>
      </x:c>
    </x:row>
    <x:row r="17">
      <x:c r="A17" s="164" t="n">
        <x:v>2016</x:v>
      </x:c>
      <x:c r="B17" s="166" t="n">
        <x:v>1.258488630478841</x:v>
      </x:c>
      <x:c r="C17" s="166" t="n">
        <x:v>-1.884536099711061</x:v>
      </x:c>
      <x:c r="D17" s="166" t="n">
        <x:v>0.4785829203743972</x:v>
      </x:c>
      <x:c r="E17" s="166" t="n">
        <x:v>-1.405680943475681</x:v>
      </x:c>
      <x:c r="F17" s="166" t="n">
        <x:v>-0.03753195565899592</x:v>
      </x:c>
      <x:c r="G17" s="166" t="n">
        <x:v>0.05446474834625281</x:v>
      </x:c>
      <x:c r="H17" s="166" t="n">
        <x:v>-0.2149464472042305</x:v>
      </x:c>
      <x:c r="I17" s="166" t="n">
        <x:v>-3.575045430069326</x:v>
      </x:c>
      <x:c r="J17" s="166" t="n">
        <x:v>-0.2901764827156512</x:v>
      </x:c>
      <x:c r="K17" s="166" t="n">
        <x:v>-0.5792483290867567</x:v>
      </x:c>
    </x:row>
    <x:row r="18">
      <x:c r="A18" s="146" t="n">
        <x:v>2017</x:v>
      </x:c>
      <x:c r="B18" s="167" t="n">
        <x:v>1.409865751323098</x:v>
      </x:c>
      <x:c r="C18" s="167" t="n">
        <x:v>-3.905633942038841</x:v>
      </x:c>
      <x:c r="D18" s="167" t="n">
        <x:v>-0.7413111430048136</x:v>
      </x:c>
      <x:c r="E18" s="167" t="n">
        <x:v>-0.5646658872885291</x:v>
      </x:c>
      <x:c r="F18" s="167" t="n">
        <x:v>-1.311985617985779</x:v>
      </x:c>
      <x:c r="G18" s="167" t="n">
        <x:v>0.9996880238608787</x:v>
      </x:c>
      <x:c r="H18" s="167" t="n">
        <x:v>0.477430042363971</x:v>
      </x:c>
      <x:c r="I18" s="167" t="n">
        <x:v>-0.9114071366321785</x:v>
      </x:c>
      <x:c r="J18" s="167" t="n">
        <x:v>3.203928254913168</x:v>
      </x:c>
      <x:c r="K18" s="167" t="n">
        <x:v>0.118901336283229</x:v>
      </x:c>
    </x:row>
    <x:row r="19">
      <x:c r="A19" s="164" t="n">
        <x:v>2018</x:v>
      </x:c>
      <x:c r="B19" s="166" t="n">
        <x:v>0.9653513786288801</x:v>
      </x:c>
      <x:c r="C19" s="166" t="n">
        <x:v>-4.47748708434442</x:v>
      </x:c>
      <x:c r="D19" s="166" t="n">
        <x:v>-0.1244861122196323</x:v>
      </x:c>
      <x:c r="E19" s="166" t="n">
        <x:v>-0.1995400957006175</x:v>
      </x:c>
      <x:c r="F19" s="166" t="n">
        <x:v>0.2993275297417135</x:v>
      </x:c>
      <x:c r="G19" s="166" t="n">
        <x:v>1.242190422264866</x:v>
      </x:c>
      <x:c r="H19" s="166" t="n">
        <x:v>1.394856333770233</x:v>
      </x:c>
      <x:c r="I19" s="166" t="n">
        <x:v>-0.06093497941928661</x:v>
      </x:c>
      <x:c r="J19" s="166" t="n">
        <x:v>0.484025651499655</x:v>
      </x:c>
      <x:c r="K19" s="166" t="n">
        <x:v>0.1551641099456086</x:v>
      </x:c>
    </x:row>
    <x:row r="20">
      <x:c r="A20" s="146" t="n">
        <x:v>2019</x:v>
      </x:c>
      <x:c r="B20" s="167" t="n">
        <x:v>2.965325833617302</x:v>
      </x:c>
      <x:c r="C20" s="167" t="n">
        <x:v>-1.079371321192514</x:v>
      </x:c>
      <x:c r="D20" s="167" t="n">
        <x:v>-0.01082758408335449</x:v>
      </x:c>
      <x:c r="E20" s="167" t="n">
        <x:v>0.02033753977293618</x:v>
      </x:c>
      <x:c r="F20" s="167" t="n">
        <x:v>-2.155008539843339</x:v>
      </x:c>
      <x:c r="G20" s="167" t="n">
        <x:v>0.06304138586469277</x:v>
      </x:c>
      <x:c r="H20" s="167" t="n">
        <x:v>0.06996641145780869</x:v>
      </x:c>
      <x:c r="I20" s="167" t="n">
        <x:v>0.1063362877133422</x:v>
      </x:c>
      <x:c r="J20" s="167" t="n">
        <x:v>1.22946186677786</x:v>
      </x:c>
      <x:c r="K20" s="167" t="n">
        <x:v>0.1445613406672486</x:v>
      </x:c>
    </x:row>
    <x:row r="21">
      <x:c r="A21" s="164" t="n">
        <x:v>2020</x:v>
      </x:c>
      <x:c r="B21" s="166" t="n">
        <x:v>3.389846279710143</x:v>
      </x:c>
      <x:c r="C21" s="166" t="n">
        <x:v>-8.483295101509748</x:v>
      </x:c>
      <x:c r="D21" s="166" t="n">
        <x:v>-1.930024983786335</x:v>
      </x:c>
      <x:c r="E21" s="166" t="n">
        <x:v>-0.8771261881283954</x:v>
      </x:c>
      <x:c r="F21" s="166" t="n">
        <x:v>-9.761664221966765</x:v>
      </x:c>
      <x:c r="G21" s="166" t="n">
        <x:v>1.953203178637931</x:v>
      </x:c>
      <x:c r="H21" s="166" t="n">
        <x:v>-1.071150570203915</x:v>
      </x:c>
      <x:c r="I21" s="166" t="n">
        <x:v>0.6845146278142356</x:v>
      </x:c>
      <x:c r="J21" s="166" t="n">
        <x:v>2.264607604362762</x:v>
      </x:c>
      <x:c r="K21" s="166" t="n">
        <x:v>-0.7796008846031638</x:v>
      </x:c>
    </x:row>
    <x:row r="22">
      <x:c r="A22" s="146" t="n">
        <x:v>2021</x:v>
      </x:c>
      <x:c r="B22" s="167" t="n">
        <x:v>1.204753520687161</x:v>
      </x:c>
      <x:c r="C22" s="167" t="n">
        <x:v>-2.474676532535527</x:v>
      </x:c>
      <x:c r="D22" s="167" t="n">
        <x:v>3.971828176181219</x:v>
      </x:c>
      <x:c r="E22" s="167" t="n">
        <x:v>1.474460386710647</x:v>
      </x:c>
      <x:c r="F22" s="167" t="n">
        <x:v>-2.709261822021173</x:v>
      </x:c>
      <x:c r="G22" s="167" t="n">
        <x:v>6.420836065770416</x:v>
      </x:c>
      <x:c r="H22" s="167" t="n">
        <x:v>0.3587370035522532</x:v>
      </x:c>
      <x:c r="I22" s="167" t="n">
        <x:v>-6.700988681017407</x:v>
      </x:c>
      <x:c r="J22" s="167" t="n">
        <x:v>0.09759719797223987</x:v>
      </x:c>
      <x:c r="K22" s="167" t="n">
        <x:v>0.6143126189117988</x:v>
      </x:c>
    </x:row>
    <x:row r="23">
      <x:c r="A23" s="164" t="n">
        <x:v>2022</x:v>
      </x:c>
      <x:c r="B23" s="166" t="n">
        <x:v>-0.8934836504422696</x:v>
      </x:c>
      <x:c r="C23" s="166" t="n">
        <x:v>-1.176746730117744</x:v>
      </x:c>
      <x:c r="D23" s="166" t="n">
        <x:v>-0.5837025630257742</x:v>
      </x:c>
      <x:c r="E23" s="166" t="n">
        <x:v>1.372060406158591</x:v>
      </x:c>
      <x:c r="F23" s="166" t="n">
        <x:v>0.7594919834269636</x:v>
      </x:c>
      <x:c r="G23" s="166" t="n">
        <x:v>0.5579108185024388</x:v>
      </x:c>
      <x:c r="H23" s="166" t="n">
        <x:v>2.453327082308974</x:v>
      </x:c>
      <x:c r="I23" s="166" t="n">
        <x:v>0.28125281628314</x:v>
      </x:c>
      <x:c r="J23" s="166" t="n">
        <x:v>-0.6500565364832234</x:v>
      </x:c>
      <x:c r="K23" s="166" t="n">
        <x:v>0.04447767008751363</x:v>
      </x:c>
    </x:row>
    <x:row r="24">
      <x:c r="A24" s="146" t="n">
        <x:v>2023</x:v>
      </x:c>
      <x:c r="B24" s="167" t="n">
        <x:v>0.4196019054416946</x:v>
      </x:c>
      <x:c r="C24" s="167" t="n">
        <x:v>-0.6001539964622307</x:v>
      </x:c>
      <x:c r="D24" s="167" t="n">
        <x:v>-1.039587191784061</x:v>
      </x:c>
      <x:c r="E24" s="167" t="n">
        <x:v>0.3562460571739474</x:v>
      </x:c>
      <x:c r="F24" s="167" t="n">
        <x:v>-1.415255627508405</x:v>
      </x:c>
      <x:c r="G24" s="167" t="n">
        <x:v>-3.489136011462874</x:v>
      </x:c>
      <x:c r="H24" s="167" t="n">
        <x:v>-2.502589639302834</x:v>
      </x:c>
      <x:c r="I24" s="167" t="n">
        <x:v>-0.1634304909659878</x:v>
      </x:c>
      <x:c r="J24" s="167" t="n">
        <x:v>3.47272225290181</x:v>
      </x:c>
      <x:c r="K24" s="167" t="n">
        <x:v>-0.5057410597271336</x:v>
      </x:c>
    </x:row>
    <x:row r="25">
      <x:c r="A25" s="164" t="n">
        <x:v>2024</x:v>
      </x:c>
      <x:c r="B25" s="166" t="n">
        <x:v>3.80223132133859</x:v>
      </x:c>
      <x:c r="C25" s="166" t="n">
        <x:v>-2.330699844728882</x:v>
      </x:c>
      <x:c r="D25" s="166" t="n">
        <x:v>-1.195620071694396</x:v>
      </x:c>
      <x:c r="E25" s="166" t="n">
        <x:v>0.9377115268507139</x:v>
      </x:c>
      <x:c r="F25" s="166" t="n">
        <x:v>0.5336129650584118</x:v>
      </x:c>
      <x:c r="G25" s="166" t="n">
        <x:v>-0.09326703363218547</x:v>
      </x:c>
      <x:c r="H25" s="166" t="n">
        <x:v>1.149510533655444</x:v>
      </x:c>
      <x:c r="I25" s="166" t="n">
        <x:v>0.4076931953080921</x:v>
      </x:c>
      <x:c r="J25" s="166" t="n">
        <x:v>2.744973157275121</x:v>
      </x:c>
      <x:c r="K25" s="166" t="n">
        <x:v>0.6230836420717408</x:v>
      </x:c>
    </x:row>
    <x:row r="29" ht="25.5" customHeight="1">
      <x:c r="A29" s="140" t="str">
        <x:v>Año</x:v>
      </x:c>
      <x:c r="B29" s="140" t="str">
        <x:v>Agropecuario</x:v>
      </x:c>
      <x:c r="C29" s="140" t="str">
        <x:v>Minería</x:v>
      </x:c>
      <x:c r="D29" s="140" t="str">
        <x:v>Manufactura</x:v>
      </x:c>
      <x:c r="E29" s="140" t="str">
        <x:v>Servicios públicos</x:v>
      </x:c>
      <x:c r="F29" s="140" t="str">
        <x:v>Construcción</x:v>
      </x:c>
      <x:c r="G29" s="140" t="str">
        <x:v>Comercio y hotelería</x:v>
      </x:c>
      <x:c r="H29" s="140" t="str">
        <x:v>Transporte y comunicaciones</x:v>
      </x:c>
      <x:c r="I29" s="140" t="str">
        <x:v>Finanzas</x:v>
      </x:c>
      <x:c r="J29" s="140" t="str">
        <x:v>Servicios sociales y personales</x:v>
      </x:c>
      <x:c r="K29" s="140" t="str">
        <x:v>Total de la economía</x:v>
      </x:c>
    </x:row>
    <x:row r="30">
      <x:c r="A30" s="145" t="n">
        <x:v>2004</x:v>
      </x:c>
      <x:c r="B30" s="165" t="n">
        <x:v>100</x:v>
      </x:c>
      <x:c r="C30" s="165" t="n">
        <x:v>100</x:v>
      </x:c>
      <x:c r="D30" s="165" t="n">
        <x:v>100</x:v>
      </x:c>
      <x:c r="E30" s="165" t="n">
        <x:v>100</x:v>
      </x:c>
      <x:c r="F30" s="165" t="n">
        <x:v>100</x:v>
      </x:c>
      <x:c r="G30" s="165" t="n">
        <x:v>100</x:v>
      </x:c>
      <x:c r="H30" s="165" t="n">
        <x:v>100</x:v>
      </x:c>
      <x:c r="I30" s="165" t="n">
        <x:v>100</x:v>
      </x:c>
      <x:c r="J30" s="165" t="n">
        <x:v>100</x:v>
      </x:c>
      <x:c r="K30" s="165" t="n">
        <x:v>100</x:v>
      </x:c>
    </x:row>
    <x:row r="31">
      <x:c r="A31" s="164" t="n">
        <x:v>2005</x:v>
      </x:c>
      <x:c r="B31" s="173" t="n">
        <x:f>B30*EXP(B6/100)</x:f>
        <x:v>95.49532192228683</x:v>
      </x:c>
      <x:c r="C31" s="173" t="n">
        <x:f>C30*EXP(C6/100)</x:f>
        <x:v>104.69120762273403</x:v>
      </x:c>
      <x:c r="D31" s="173" t="n">
        <x:f>D30*EXP(D6/100)</x:f>
        <x:v>101.45821683124099</x:v>
      </x:c>
      <x:c r="E31" s="173" t="n">
        <x:f>E30*EXP(E6/100)</x:f>
        <x:v>100.34370672425351</x:v>
      </x:c>
      <x:c r="F31" s="173" t="n">
        <x:f>F30*EXP(F6/100)</x:f>
        <x:v>106.5536486353118</x:v>
      </x:c>
      <x:c r="G31" s="173" t="n">
        <x:f>G30*EXP(G6/100)</x:f>
        <x:v>101.33723847040785</x:v>
      </x:c>
      <x:c r="H31" s="173" t="n">
        <x:f>H30*EXP(H6/100)</x:f>
        <x:v>102.0654552834779</x:v>
      </x:c>
      <x:c r="I31" s="173" t="n">
        <x:f>I30*EXP(I6/100)</x:f>
        <x:v>96.60059720185234</x:v>
      </x:c>
      <x:c r="J31" s="173" t="n">
        <x:f>J30*EXP(J6/100)</x:f>
        <x:v>96.3850974884739</x:v>
      </x:c>
      <x:c r="K31" s="173" t="n">
        <x:f>K30*EXP(K6/100)</x:f>
        <x:v>100.07323815630977</x:v>
      </x:c>
    </x:row>
    <x:row r="32">
      <x:c r="A32" s="146" t="n">
        <x:v>2006</x:v>
      </x:c>
      <x:c r="B32" s="175" t="n">
        <x:f>B31*EXP(B7/100)</x:f>
        <x:v>98.14011843223415</x:v>
      </x:c>
      <x:c r="C32" s="175" t="n">
        <x:f>C31*EXP(C7/100)</x:f>
        <x:v>101.46238399841586</x:v>
      </x:c>
      <x:c r="D32" s="175" t="n">
        <x:f>D31*EXP(D7/100)</x:f>
        <x:v>104.08216241001378</x:v>
      </x:c>
      <x:c r="E32" s="175" t="n">
        <x:f>E31*EXP(E7/100)</x:f>
        <x:v>101.65529309959942</x:v>
      </x:c>
      <x:c r="F32" s="175" t="n">
        <x:f>F31*EXP(F7/100)</x:f>
        <x:v>108.92651638645933</x:v>
      </x:c>
      <x:c r="G32" s="175" t="n">
        <x:f>G31*EXP(G7/100)</x:f>
        <x:v>105.88861493720036</x:v>
      </x:c>
      <x:c r="H32" s="175" t="n">
        <x:f>H31*EXP(H7/100)</x:f>
        <x:v>102.93056759674948</x:v>
      </x:c>
      <x:c r="I32" s="175" t="n">
        <x:f>I31*EXP(I7/100)</x:f>
        <x:v>97.9917927367023</x:v>
      </x:c>
      <x:c r="J32" s="175" t="n">
        <x:f>J31*EXP(J7/100)</x:f>
        <x:v>99.44982305056266</x:v>
      </x:c>
      <x:c r="K32" s="175" t="n">
        <x:f>K31*EXP(K7/100)</x:f>
        <x:v>102.30538016467929</x:v>
      </x:c>
    </x:row>
    <x:row r="33">
      <x:c r="A33" s="164" t="n">
        <x:v>2007</x:v>
      </x:c>
      <x:c r="B33" s="173" t="n">
        <x:f>B32*EXP(B8/100)</x:f>
        <x:v>100.44680720667216</x:v>
      </x:c>
      <x:c r="C33" s="173" t="n">
        <x:f>C32*EXP(C8/100)</x:f>
        <x:v>97.16835180179982</x:v>
      </x:c>
      <x:c r="D33" s="173" t="n">
        <x:f>D32*EXP(D8/100)</x:f>
        <x:v>104.08981498259254</x:v>
      </x:c>
      <x:c r="E33" s="173" t="n">
        <x:f>E32*EXP(E8/100)</x:f>
        <x:v>102.12311333187144</x:v>
      </x:c>
      <x:c r="F33" s="173" t="n">
        <x:f>F32*EXP(F8/100)</x:f>
        <x:v>108.09776826245448</x:v>
      </x:c>
      <x:c r="G33" s="173" t="n">
        <x:f>G32*EXP(G8/100)</x:f>
        <x:v>106.01633626727204</x:v>
      </x:c>
      <x:c r="H33" s="173" t="n">
        <x:f>H32*EXP(H8/100)</x:f>
        <x:v>101.63549497860559</x:v>
      </x:c>
      <x:c r="I33" s="173" t="n">
        <x:f>I32*EXP(I8/100)</x:f>
        <x:v>92.73191917262061</x:v>
      </x:c>
      <x:c r="J33" s="173" t="n">
        <x:f>J32*EXP(J8/100)</x:f>
        <x:v>96.8016612427892</x:v>
      </x:c>
      <x:c r="K33" s="173" t="n">
        <x:f>K32*EXP(K8/100)</x:f>
        <x:v>100.89645061555012</x:v>
      </x:c>
    </x:row>
    <x:row r="34">
      <x:c r="A34" s="146" t="n">
        <x:v>2008</x:v>
      </x:c>
      <x:c r="B34" s="175" t="n">
        <x:f>B33*EXP(B9/100)</x:f>
        <x:v>97.58295621341344</x:v>
      </x:c>
      <x:c r="C34" s="175" t="n">
        <x:f>C33*EXP(C9/100)</x:f>
        <x:v>94.51025008947931</x:v>
      </x:c>
      <x:c r="D34" s="175" t="n">
        <x:f>D33*EXP(D9/100)</x:f>
        <x:v>102.7077589529687</x:v>
      </x:c>
      <x:c r="E34" s="175" t="n">
        <x:f>E33*EXP(E9/100)</x:f>
        <x:v>100.65216369133141</x:v>
      </x:c>
      <x:c r="F34" s="175" t="n">
        <x:f>F33*EXP(F9/100)</x:f>
        <x:v>111.32603113467755</x:v>
      </x:c>
      <x:c r="G34" s="175" t="n">
        <x:f>G33*EXP(G9/100)</x:f>
        <x:v>105.69247628610252</x:v>
      </x:c>
      <x:c r="H34" s="175" t="n">
        <x:f>H33*EXP(H9/100)</x:f>
        <x:v>100.9047378739921</x:v>
      </x:c>
      <x:c r="I34" s="175" t="n">
        <x:f>I33*EXP(I9/100)</x:f>
        <x:v>89.87426873074355</x:v>
      </x:c>
      <x:c r="J34" s="175" t="n">
        <x:f>J33*EXP(J9/100)</x:f>
        <x:v>98.18899423597286</x:v>
      </x:c>
      <x:c r="K34" s="175" t="n">
        <x:f>K33*EXP(K9/100)</x:f>
        <x:v>100.08998010192718</x:v>
      </x:c>
    </x:row>
    <x:row r="35">
      <x:c r="A35" s="164" t="n">
        <x:v>2009</x:v>
      </x:c>
      <x:c r="B35" s="173" t="n">
        <x:f>B34*EXP(B10/100)</x:f>
        <x:v>95.08719625227322</x:v>
      </x:c>
      <x:c r="C35" s="173" t="n">
        <x:f>C34*EXP(C10/100)</x:f>
        <x:v>101.85057393089761</x:v>
      </x:c>
      <x:c r="D35" s="173" t="n">
        <x:f>D34*EXP(D10/100)</x:f>
        <x:v>100.42875232161225</x:v>
      </x:c>
      <x:c r="E35" s="173" t="n">
        <x:f>E34*EXP(E10/100)</x:f>
        <x:v>100.5446686347417</x:v>
      </x:c>
      <x:c r="F35" s="173" t="n">
        <x:f>F34*EXP(F10/100)</x:f>
        <x:v>109.91742155370427</x:v>
      </x:c>
      <x:c r="G35" s="173" t="n">
        <x:f>G34*EXP(G10/100)</x:f>
        <x:v>104.78036284077692</x:v>
      </x:c>
      <x:c r="H35" s="173" t="n">
        <x:f>H34*EXP(H10/100)</x:f>
        <x:v>96.35398643911402</x:v>
      </x:c>
      <x:c r="I35" s="173" t="n">
        <x:f>I34*EXP(I10/100)</x:f>
        <x:v>91.48965271959948</x:v>
      </x:c>
      <x:c r="J35" s="173" t="n">
        <x:f>J34*EXP(J10/100)</x:f>
        <x:v>98.72471807405284</x:v>
      </x:c>
      <x:c r="K35" s="173" t="n">
        <x:f>K34*EXP(K10/100)</x:f>
        <x:v>99.5232263931783</x:v>
      </x:c>
    </x:row>
    <x:row r="36">
      <x:c r="A36" s="146" t="n">
        <x:v>2010</x:v>
      </x:c>
      <x:c r="B36" s="175" t="n">
        <x:f>B35*EXP(B11/100)</x:f>
        <x:v>93.69248859389344</x:v>
      </x:c>
      <x:c r="C36" s="175" t="n">
        <x:f>C35*EXP(C11/100)</x:f>
        <x:v>100.39761656972003</x:v>
      </x:c>
      <x:c r="D36" s="175" t="n">
        <x:f>D35*EXP(D11/100)</x:f>
        <x:v>99.29639317835887</x:v>
      </x:c>
      <x:c r="E36" s="175" t="n">
        <x:f>E35*EXP(E11/100)</x:f>
        <x:v>98.76909127284928</x:v>
      </x:c>
      <x:c r="F36" s="175" t="n">
        <x:f>F35*EXP(F11/100)</x:f>
        <x:v>105.55982647538065</x:v>
      </x:c>
      <x:c r="G36" s="175" t="n">
        <x:f>G35*EXP(G11/100)</x:f>
        <x:v>104.15041388826427</x:v>
      </x:c>
      <x:c r="H36" s="175" t="n">
        <x:f>H35*EXP(H11/100)</x:f>
        <x:v>97.70836830778764</x:v>
      </x:c>
      <x:c r="I36" s="175" t="n">
        <x:f>I35*EXP(I11/100)</x:f>
        <x:v>90.69214341157411</x:v>
      </x:c>
      <x:c r="J36" s="175" t="n">
        <x:f>J35*EXP(J11/100)</x:f>
        <x:v>98.88527636609426</x:v>
      </x:c>
      <x:c r="K36" s="175" t="n">
        <x:f>K35*EXP(K11/100)</x:f>
        <x:v>98.60236059813096</x:v>
      </x:c>
    </x:row>
    <x:row r="37">
      <x:c r="A37" s="164" t="n">
        <x:v>2011</x:v>
      </x:c>
      <x:c r="B37" s="173" t="n">
        <x:f>B36*EXP(B12/100)</x:f>
        <x:v>94.6803312908577</x:v>
      </x:c>
      <x:c r="C37" s="173" t="n">
        <x:f>C36*EXP(C12/100)</x:f>
        <x:v>101.07653669282848</x:v>
      </x:c>
      <x:c r="D37" s="173" t="n">
        <x:f>D36*EXP(D12/100)</x:f>
        <x:v>98.98956746355742</x:v>
      </x:c>
      <x:c r="E37" s="173" t="n">
        <x:f>E36*EXP(E12/100)</x:f>
        <x:v>96.92392097831281</x:v>
      </x:c>
      <x:c r="F37" s="173" t="n">
        <x:f>F36*EXP(F12/100)</x:f>
        <x:v>103.67900345177608</x:v>
      </x:c>
      <x:c r="G37" s="173" t="n">
        <x:f>G36*EXP(G12/100)</x:f>
        <x:v>105.80071513565149</x:v>
      </x:c>
      <x:c r="H37" s="173" t="n">
        <x:f>H36*EXP(H12/100)</x:f>
        <x:v>100.04555648375651</x:v>
      </x:c>
      <x:c r="I37" s="173" t="n">
        <x:f>I36*EXP(I12/100)</x:f>
        <x:v>90.07465905014296</x:v>
      </x:c>
      <x:c r="J37" s="173" t="n">
        <x:f>J36*EXP(J12/100)</x:f>
        <x:v>99.95803433987061</x:v>
      </x:c>
      <x:c r="K37" s="173" t="n">
        <x:f>K36*EXP(K12/100)</x:f>
        <x:v>98.87413612341564</x:v>
      </x:c>
    </x:row>
    <x:row r="38">
      <x:c r="A38" s="146" t="n">
        <x:v>2012</x:v>
      </x:c>
      <x:c r="B38" s="175" t="n">
        <x:f>B37*EXP(B13/100)</x:f>
        <x:v>96.54670940877</x:v>
      </x:c>
      <x:c r="C38" s="175" t="n">
        <x:f>C37*EXP(C13/100)</x:f>
        <x:v>100.62517895117065</x:v>
      </x:c>
      <x:c r="D38" s="175" t="n">
        <x:f>D37*EXP(D13/100)</x:f>
        <x:v>98.13390740236278</x:v>
      </x:c>
      <x:c r="E38" s="175" t="n">
        <x:f>E37*EXP(E13/100)</x:f>
        <x:v>96.2930495750662</x:v>
      </x:c>
      <x:c r="F38" s="175" t="n">
        <x:f>F37*EXP(F13/100)</x:f>
        <x:v>102.04651737605204</x:v>
      </x:c>
      <x:c r="G38" s="175" t="n">
        <x:f>G37*EXP(G13/100)</x:f>
        <x:v>106.43151119610026</x:v>
      </x:c>
      <x:c r="H38" s="175" t="n">
        <x:f>H37*EXP(H13/100)</x:f>
        <x:v>100.04743452692684</x:v>
      </x:c>
      <x:c r="I38" s="175" t="n">
        <x:f>I37*EXP(I13/100)</x:f>
        <x:v>89.27263554572151</x:v>
      </x:c>
      <x:c r="J38" s="175" t="n">
        <x:f>J37*EXP(J13/100)</x:f>
        <x:v>101.36457347256886</x:v>
      </x:c>
      <x:c r="K38" s="175" t="n">
        <x:f>K37*EXP(K13/100)</x:f>
        <x:v>98.71806304783794</x:v>
      </x:c>
    </x:row>
    <x:row r="39">
      <x:c r="A39" s="164" t="n">
        <x:v>2013</x:v>
      </x:c>
      <x:c r="B39" s="173" t="n">
        <x:f>B38*EXP(B14/100)</x:f>
        <x:v>100.68569556767055</x:v>
      </x:c>
      <x:c r="C39" s="173" t="n">
        <x:f>C38*EXP(C14/100)</x:f>
        <x:v>98.61702140798778</x:v>
      </x:c>
      <x:c r="D39" s="173" t="n">
        <x:f>D38*EXP(D14/100)</x:f>
        <x:v>97.7755498380096</x:v>
      </x:c>
      <x:c r="E39" s="173" t="n">
        <x:f>E38*EXP(E14/100)</x:f>
        <x:v>96.06874066716081</x:v>
      </x:c>
      <x:c r="F39" s="173" t="n">
        <x:f>F38*EXP(F14/100)</x:f>
        <x:v>104.88612082244916</x:v>
      </x:c>
      <x:c r="G39" s="173" t="n">
        <x:f>G38*EXP(G14/100)</x:f>
        <x:v>107.96662269441656</x:v>
      </x:c>
      <x:c r="H39" s="173" t="n">
        <x:f>H38*EXP(H14/100)</x:f>
        <x:v>103.18322598248906</x:v>
      </x:c>
      <x:c r="I39" s="173" t="n">
        <x:f>I38*EXP(I14/100)</x:f>
        <x:v>87.57157815513051</x:v>
      </x:c>
      <x:c r="J39" s="173" t="n">
        <x:f>J38*EXP(J14/100)</x:f>
        <x:v>101.00432140941147</x:v>
      </x:c>
      <x:c r="K39" s="173" t="n">
        <x:f>K38*EXP(K14/100)</x:f>
        <x:v>99.02121151447946</x:v>
      </x:c>
    </x:row>
    <x:row r="40">
      <x:c r="A40" s="146" t="n">
        <x:v>2014</x:v>
      </x:c>
      <x:c r="B40" s="175" t="n">
        <x:f>B39*EXP(B15/100)</x:f>
        <x:v>102.50163496153573</x:v>
      </x:c>
      <x:c r="C40" s="175" t="n">
        <x:f>C39*EXP(C15/100)</x:f>
        <x:v>91.51687350546929</x:v>
      </x:c>
      <x:c r="D40" s="175" t="n">
        <x:f>D39*EXP(D15/100)</x:f>
        <x:v>96.9496383274263</x:v>
      </x:c>
      <x:c r="E40" s="175" t="n">
        <x:f>E39*EXP(E15/100)</x:f>
        <x:v>94.87947980775073</x:v>
      </x:c>
      <x:c r="F40" s="175" t="n">
        <x:f>F39*EXP(F15/100)</x:f>
        <x:v>104.88696990531666</x:v>
      </x:c>
      <x:c r="G40" s="175" t="n">
        <x:f>G39*EXP(G15/100)</x:f>
        <x:v>110.09537904499774</x:v>
      </x:c>
      <x:c r="H40" s="175" t="n">
        <x:f>H39*EXP(H15/100)</x:f>
        <x:v>102.91889271926956</x:v>
      </x:c>
      <x:c r="I40" s="175" t="n">
        <x:f>I39*EXP(I15/100)</x:f>
        <x:v>88.01850412998037</x:v>
      </x:c>
      <x:c r="J40" s="175" t="n">
        <x:f>J39*EXP(J15/100)</x:f>
        <x:v>99.31887501113623</x:v>
      </x:c>
      <x:c r="K40" s="175" t="n">
        <x:f>K39*EXP(K15/100)</x:f>
        <x:v>98.32987061768438</x:v>
      </x:c>
    </x:row>
    <x:row r="41">
      <x:c r="A41" s="164" t="n">
        <x:v>2015</x:v>
      </x:c>
      <x:c r="B41" s="173" t="n">
        <x:f>B40*EXP(B16/100)</x:f>
        <x:v>105.37315560386715</x:v>
      </x:c>
      <x:c r="C41" s="173" t="n">
        <x:f>C40*EXP(C16/100)</x:f>
        <x:v>88.44381066345149</x:v>
      </x:c>
      <x:c r="D41" s="173" t="n">
        <x:f>D40*EXP(D16/100)</x:f>
        <x:v>95.97005547657018</x:v>
      </x:c>
      <x:c r="E41" s="173" t="n">
        <x:f>E40*EXP(E16/100)</x:f>
        <x:v>93.4259018531823</x:v>
      </x:c>
      <x:c r="F41" s="173" t="n">
        <x:f>F40*EXP(F16/100)</x:f>
        <x:v>104.1597363465314</x:v>
      </x:c>
      <x:c r="G41" s="173" t="n">
        <x:f>G40*EXP(G16/100)</x:f>
        <x:v>114.03056350030491</x:v>
      </x:c>
      <x:c r="H41" s="173" t="n">
        <x:f>H40*EXP(H16/100)</x:f>
        <x:v>102.07631196250652</x:v>
      </x:c>
      <x:c r="I41" s="173" t="n">
        <x:f>I40*EXP(I16/100)</x:f>
        <x:v>89.44894696441801</x:v>
      </x:c>
      <x:c r="J41" s="173" t="n">
        <x:f>J40*EXP(J16/100)</x:f>
        <x:v>100.685559138191</x:v>
      </x:c>
      <x:c r="K41" s="173" t="n">
        <x:f>K40*EXP(K16/100)</x:f>
        <x:v>98.71042605054738</x:v>
      </x:c>
    </x:row>
    <x:row r="42">
      <x:c r="A42" s="146" t="n">
        <x:v>2016</x:v>
      </x:c>
      <x:c r="B42" s="175" t="n">
        <x:f>B41*EXP(B17/100)</x:f>
        <x:v>106.7076443684973</x:v>
      </x:c>
      <x:c r="C42" s="175" t="n">
        <x:f>C41*EXP(C17/100)</x:f>
        <x:v>86.79266223414224</x:v>
      </x:c>
      <x:c r="D42" s="175" t="n">
        <x:f>D41*EXP(D17/100)</x:f>
        <x:v>96.43045258296297</x:v>
      </x:c>
      <x:c r="E42" s="175" t="n">
        <x:f>E41*EXP(E17/100)</x:f>
        <x:v>92.12181885085279</x:v>
      </x:c>
      <x:c r="F42" s="175" t="n">
        <x:f>F41*EXP(F17/100)</x:f>
        <x:v>104.1206504957722</x:v>
      </x:c>
      <x:c r="G42" s="175" t="n">
        <x:f>G41*EXP(G17/100)</x:f>
        <x:v>114.09268687588755</x:v>
      </x:c>
      <x:c r="H42" s="175" t="n">
        <x:f>H41*EXP(H17/100)</x:f>
        <x:v>101.85713819400581</x:v>
      </x:c>
      <x:c r="I42" s="175" t="n">
        <x:f>I41*EXP(I17/100)</x:f>
        <x:v>86.30759345318097</x:v>
      </x:c>
      <x:c r="J42" s="175" t="n">
        <x:f>J41*EXP(J17/100)</x:f>
        <x:v>100.39381681260235</x:v>
      </x:c>
      <x:c r="K42" s="175" t="n">
        <x:f>K41*EXP(K17/100)</x:f>
        <x:v>98.14030037285751</x:v>
      </x:c>
    </x:row>
    <x:row r="43">
      <x:c r="A43" s="164" t="n">
        <x:v>2017</x:v>
      </x:c>
      <x:c r="B43" s="173" t="n">
        <x:f>B42*EXP(B18/100)</x:f>
        <x:v>108.22273417021299</x:v>
      </x:c>
      <x:c r="C43" s="173" t="n">
        <x:f>C42*EXP(C18/100)</x:f>
        <x:v>83.46820176980685</x:v>
      </x:c>
      <x:c r="D43" s="173" t="n">
        <x:f>D42*EXP(D18/100)</x:f>
        <x:v>95.71824598770168</x:v>
      </x:c>
      <x:c r="E43" s="173" t="n">
        <x:f>E42*EXP(E18/100)</x:f>
        <x:v>91.6031042455233</x:v>
      </x:c>
      <x:c r="F43" s="173" t="n">
        <x:f>F42*EXP(F18/100)</x:f>
        <x:v>102.76352465072122</x:v>
      </x:c>
      <x:c r="G43" s="173" t="n">
        <x:f>G42*EXP(G18/100)</x:f>
        <x:v>115.238977923397</x:v>
      </x:c>
      <x:c r="H43" s="173" t="n">
        <x:f>H42*EXP(H18/100)</x:f>
        <x:v>102.3445974846588</x:v>
      </x:c>
      <x:c r="I43" s="173" t="n">
        <x:f>I42*EXP(I18/100)</x:f>
        <x:v>85.52455364767214</x:v>
      </x:c>
      <x:c r="J43" s="173" t="n">
        <x:f>J42*EXP(J18/100)</x:f>
        <x:v>103.66244532852829</x:v>
      </x:c>
      <x:c r="K43" s="173" t="n">
        <x:f>K42*EXP(K18/100)</x:f>
        <x:v>98.25705990199765</x:v>
      </x:c>
    </x:row>
    <x:row r="44">
      <x:c r="A44" s="146" t="n">
        <x:v>2018</x:v>
      </x:c>
      <x:c r="B44" s="175" t="n">
        <x:f>B43*EXP(B19/100)</x:f>
        <x:v>109.2725227482713</x:v>
      </x:c>
      <x:c r="C44" s="175" t="n">
        <x:f>C43*EXP(C19/100)</x:f>
        <x:v>79.81335699637104</x:v>
      </x:c>
      <x:c r="D44" s="175" t="n">
        <x:f>D43*EXP(D19/100)</x:f>
        <x:v>95.59916420010885</x:v>
      </x:c>
      <x:c r="E44" s="175" t="n">
        <x:f>E43*EXP(E19/100)</x:f>
        <x:v>91.42050156701471</x:v>
      </x:c>
      <x:c r="F44" s="175" t="n">
        <x:f>F43*EXP(F19/100)</x:f>
        <x:v>103.07158499523283</x:v>
      </x:c>
      <x:c r="G44" s="175" t="n">
        <x:f>G43*EXP(G19/100)</x:f>
        <x:v>116.67939329905793</x:v>
      </x:c>
      <x:c r="H44" s="175" t="n">
        <x:f>H43*EXP(H19/100)</x:f>
        <x:v>103.78216024465162</x:v>
      </x:c>
      <x:c r="I44" s="175" t="n">
        <x:f>I43*EXP(I19/100)</x:f>
        <x:v>85.47245515322398</x:v>
      </x:c>
      <x:c r="J44" s="175" t="n">
        <x:f>J43*EXP(J19/100)</x:f>
        <x:v>104.16541442264105</x:v>
      </x:c>
      <x:c r="K44" s="175" t="n">
        <x:f>K43*EXP(K19/100)</x:f>
        <x:v>98.4096379370162</x:v>
      </x:c>
    </x:row>
    <x:row r="45">
      <x:c r="A45" s="164" t="n">
        <x:v>2019</x:v>
      </x:c>
      <x:c r="B45" s="173" t="n">
        <x:f>B44*EXP(B20/100)</x:f>
        <x:v>112.5613300322428</x:v>
      </x:c>
      <x:c r="C45" s="173" t="n">
        <x:f>C44*EXP(C20/100)</x:f>
        <x:v>78.95650712522972</x:v>
      </x:c>
      <x:c r="D45" s="173" t="n">
        <x:f>D44*EXP(D20/100)</x:f>
        <x:v>95.58881368058782</x:v>
      </x:c>
      <x:c r="E45" s="173" t="n">
        <x:f>E44*EXP(E20/100)</x:f>
        <x:v>91.43909613865664</x:v>
      </x:c>
      <x:c r="F45" s="173" t="n">
        <x:f>F44*EXP(F20/100)</x:f>
        <x:v>100.87414607597732</x:v>
      </x:c>
      <x:c r="G45" s="173" t="n">
        <x:f>G44*EXP(G20/100)</x:f>
        <x:v>116.75297279594261</x:v>
      </x:c>
      <x:c r="H45" s="173" t="n">
        <x:f>H44*EXP(H20/100)</x:f>
        <x:v>103.85479830606745</x:v>
      </x:c>
      <x:c r="I45" s="173" t="n">
        <x:f>I44*EXP(I20/100)</x:f>
        <x:v>85.56339172977239</x:v>
      </x:c>
      <x:c r="J45" s="173" t="n">
        <x:f>J44*EXP(J20/100)</x:f>
        <x:v>105.45399353423056</x:v>
      </x:c>
      <x:c r="K45" s="173" t="n">
        <x:f>K44*EXP(K20/100)</x:f>
        <x:v>98.55200310666982</x:v>
      </x:c>
    </x:row>
    <x:row r="46">
      <x:c r="A46" s="146" t="n">
        <x:v>2020</x:v>
      </x:c>
      <x:c r="B46" s="175" t="n">
        <x:f>B45*EXP(B21/100)</x:f>
        <x:v>116.44239552879155</x:v>
      </x:c>
      <x:c r="C46" s="175" t="n">
        <x:f>C45*EXP(C21/100)</x:f>
        <x:v>72.53463755353192</x:v>
      </x:c>
      <x:c r="D46" s="175" t="n">
        <x:f>D45*EXP(D21/100)</x:f>
        <x:v>93.76161510820535</x:v>
      </x:c>
      <x:c r="E46" s="175" t="n">
        <x:f>E45*EXP(E21/100)</x:f>
        <x:v>90.64056705366409</x:v>
      </x:c>
      <x:c r="F46" s="175" t="n">
        <x:f>F45*EXP(F21/100)</x:f>
        <x:v>91.49250159707121</x:v>
      </x:c>
      <x:c r="G46" s="175" t="n">
        <x:f>G45*EXP(G21/100)</x:f>
        <x:v>119.05581192459769</x:v>
      </x:c>
      <x:c r="H46" s="175" t="n">
        <x:f>H45*EXP(H21/100)</x:f>
        <x:v>102.74829378623564</x:v>
      </x:c>
      <x:c r="I46" s="175" t="n">
        <x:f>I45*EXP(I21/100)</x:f>
        <x:v>86.15109482425736</x:v>
      </x:c>
      <x:c r="J46" s="175" t="n">
        <x:f>J45*EXP(J21/100)</x:f>
        <x:v>107.86935873821885</x:v>
      </x:c>
      <x:c r="K46" s="175" t="n">
        <x:f>K45*EXP(K21/100)</x:f>
        <x:v>97.78667793578207</x:v>
      </x:c>
    </x:row>
    <x:row r="47">
      <x:c r="A47" s="164" t="n">
        <x:v>2021</x:v>
      </x:c>
      <x:c r="B47" s="173" t="n">
        <x:f>B46*EXP(B22/100)</x:f>
        <x:v>117.85372383186734</x:v>
      </x:c>
      <x:c r="C47" s="173" t="n">
        <x:f>C46*EXP(C22/100)</x:f>
        <x:v>70.76166801061464</x:v>
      </x:c>
      <x:c r="D47" s="173" t="n">
        <x:f>D46*EXP(D22/100)</x:f>
        <x:v>97.56061073510652</x:v>
      </x:c>
      <x:c r="E47" s="173" t="n">
        <x:f>E46*EXP(E22/100)</x:f>
        <x:v>91.98692769446201</x:v>
      </x:c>
      <x:c r="F47" s="173" t="n">
        <x:f>F46*EXP(F22/100)</x:f>
        <x:v>89.0470071874313</x:v>
      </x:c>
      <x:c r="G47" s="173" t="n">
        <x:f>G46*EXP(G22/100)</x:f>
        <x:v>126.95094494803536</x:v>
      </x:c>
      <x:c r="H47" s="173" t="n">
        <x:f>H46*EXP(H22/100)</x:f>
        <x:v>103.11755187325849</x:v>
      </x:c>
      <x:c r="I47" s="173" t="n">
        <x:f>I46*EXP(I22/100)</x:f>
        <x:v>80.56729391207624</x:v>
      </x:c>
      <x:c r="J47" s="173" t="n">
        <x:f>J46*EXP(J22/100)</x:f>
        <x:v>107.97468760046641</x:v>
      </x:c>
      <x:c r="K47" s="173" t="n">
        <x:f>K46*EXP(K22/100)</x:f>
        <x:v>98.38924275886416</x:v>
      </x:c>
    </x:row>
    <x:row r="48">
      <x:c r="A48" s="146" t="n">
        <x:v>2022</x:v>
      </x:c>
      <x:c r="B48" s="175" t="n">
        <x:f>B47*EXP(B23/100)</x:f>
        <x:v>116.80541030697766</x:v>
      </x:c>
      <x:c r="C48" s="175" t="n">
        <x:f>C47*EXP(C23/100)</x:f>
        <x:v>69.9338625354434</x:v>
      </x:c>
      <x:c r="D48" s="175" t="n">
        <x:f>D47*EXP(D23/100)</x:f>
        <x:v>96.99280570812313</x:v>
      </x:c>
      <x:c r="E48" s="175" t="n">
        <x:f>E47*EXP(E23/100)</x:f>
        <x:v>93.25774214277392</x:v>
      </x:c>
      <x:c r="F48" s="175" t="n">
        <x:f>F47*EXP(F23/100)</x:f>
        <x:v>89.72588682340385</x:v>
      </x:c>
      <x:c r="G48" s="175" t="n">
        <x:f>G47*EXP(G23/100)</x:f>
        <x:v>127.66119744956168</x:v>
      </x:c>
      <x:c r="H48" s="175" t="n">
        <x:f>H47*EXP(H23/100)</x:f>
        <x:v>105.67865030553521</x:v>
      </x:c>
      <x:c r="I48" s="175" t="n">
        <x:f>I47*EXP(I23/100)</x:f>
        <x:v>80.79421065048388</x:v>
      </x:c>
      <x:c r="J48" s="175" t="n">
        <x:f>J47*EXP(J23/100)</x:f>
        <x:v>107.27506751270028</x:v>
      </x:c>
      <x:c r="K48" s="175" t="n">
        <x:f>K47*EXP(K23/100)</x:f>
        <x:v>98.43301373509365</x:v>
      </x:c>
    </x:row>
    <x:row r="49">
      <x:c r="A49" s="164" t="n">
        <x:v>2023</x:v>
      </x:c>
      <x:c r="B49" s="173" t="n">
        <x:f>B48*EXP(B24/100)</x:f>
        <x:v>117.29655774567186</x:v>
      </x:c>
      <x:c r="C49" s="173" t="n">
        <x:f>C48*EXP(C24/100)</x:f>
        <x:v>69.51540860455684</x:v>
      </x:c>
      <x:c r="D49" s="173" t="n">
        <x:f>D48*EXP(D24/100)</x:f>
        <x:v>95.98970401548564</x:v>
      </x:c>
      <x:c r="E49" s="173" t="n">
        <x:f>E48*EXP(E24/100)</x:f>
        <x:v>93.59056164836231</x:v>
      </x:c>
      <x:c r="F49" s="173" t="n">
        <x:f>F48*EXP(F24/100)</x:f>
        <x:v>88.46497973608855</x:v>
      </x:c>
      <x:c r="G49" s="173" t="n">
        <x:f>G48*EXP(G24/100)</x:f>
        <x:v>123.28373650671612</x:v>
      </x:c>
      <x:c r="H49" s="173" t="n">
        <x:f>H48*EXP(H24/100)</x:f>
        <x:v>103.06676604072315</x:v>
      </x:c>
      <x:c r="I49" s="173" t="n">
        <x:f>I48*EXP(I24/100)</x:f>
        <x:v>80.66227611534087</x:v>
      </x:c>
      <x:c r="J49" s="173" t="n">
        <x:f>J48*EXP(J24/100)</x:f>
        <x:v>111.06587377835548</x:v>
      </x:c>
      <x:c r="K49" s="173" t="n">
        <x:f>K48*EXP(K24/100)</x:f>
        <x:v>97.93645427922685</x:v>
      </x:c>
    </x:row>
    <x:row r="50">
      <x:c r="A50" s="146" t="n">
        <x:v>2024</x:v>
      </x:c>
      <x:c r="B50" s="175" t="n">
        <x:f>B49*EXP(B25/100)</x:f>
        <x:v>121.84231670284649</x:v>
      </x:c>
      <x:c r="C50" s="175" t="n">
        <x:f>C49*EXP(C25/100)</x:f>
        <x:v>67.913948196052</x:v>
      </x:c>
      <x:c r="D50" s="175" t="n">
        <x:f>D49*EXP(D25/100)</x:f>
        <x:v>94.84886548502092</x:v>
      </x:c>
      <x:c r="E50" s="175" t="n">
        <x:f>E49*EXP(E25/100)</x:f>
        <x:v>94.47229874724924</x:v>
      </x:c>
      <x:c r="F50" s="175" t="n">
        <x:f>F49*EXP(F25/100)</x:f>
        <x:v>88.93830206903867</x:v>
      </x:c>
      <x:c r="G50" s="175" t="n">
        <x:f>G49*EXP(G25/100)</x:f>
        <x:v>123.16880702671496</x:v>
      </x:c>
      <x:c r="H50" s="175" t="n">
        <x:f>H49*EXP(H25/100)</x:f>
        <x:v>104.25836502980003</x:v>
      </x:c>
      <x:c r="I50" s="175" t="n">
        <x:f>I49*EXP(I25/100)</x:f>
        <x:v>80.99180199711117</x:v>
      </x:c>
      <x:c r="J50" s="175" t="n">
        <x:f>J49*EXP(J25/100)</x:f>
        <x:v>114.1568310940008</x:v>
      </x:c>
      <x:c r="K50" s="175" t="n">
        <x:f>K49*EXP(K25/100)</x:f>
        <x:v>98.54858536939896</x:v>
      </x:c>
    </x:row>
  </x:sheetData>
  <x:mergeCells>
    <x:mergeCell ref="A1:Q1"/>
    <x:mergeCell ref="A2:Q2"/>
  </x:mergeCells>
  <x:conditionalFormatting sqref="B6:K25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5.6299991607666" hidden="0" customWidth="1"/>
    <x:col min="3" max="3" width="18.75" hidden="0" customWidth="1"/>
    <x:col min="4" max="4" width="13.75" hidden="0" customWidth="1"/>
    <x:col min="5" max="5" width="14.380000114440918" hidden="0" customWidth="1"/>
    <x:col min="6" max="6" width="14.380000114440918" hidden="0" customWidth="1"/>
    <x:col min="7" max="7" width="13.130000114440918" hidden="0" customWidth="1"/>
    <x:col min="8" max="8" width="13.75" hidden="0" customWidth="1"/>
    <x:col min="9" max="9" width="15.630000114440918" hidden="0" customWidth="1"/>
    <x:col min="10" max="10" width="2.5" hidden="0" customWidth="1"/>
    <x:col min="11" max="11" width="31.25" hidden="0" customWidth="1"/>
    <x:col min="12" max="12" width="27.5" hidden="0" customWidth="1"/>
    <x:col min="13" max="13" width="15.630000114440918" hidden="0" customWidth="1"/>
  </x:cols>
  <x:sheetData>
    <x:row r="1" ht="25.5" customHeight="1">
      <x:c r="A1" s="130" t="str">
        <x:v>Ponderadores Törnqvist y contribuciones anuales por actividad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</x:row>
    <x:row r="2" ht="22.5" customHeight="1">
      <x:c r="A2" s="134" t="str">
        <x:v>El peso directo usa el promedio de las participaciones del VBP nominal en t−1 y t. El peso implícito reproduce exactamente los totales publicados por el DANE.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</x:row>
    <x:row r="5" ht="25.5" customHeight="1">
      <x:c r="A5" s="140" t="str">
        <x:v>Año</x:v>
      </x:c>
      <x:c r="B5" s="140" t="str">
        <x:v>Actividad</x:v>
      </x:c>
      <x:c r="C5" s="140" t="str">
        <x:v>VBP nominal (miles de millones de pesos)</x:v>
      </x:c>
      <x:c r="D5" s="140" t="str">
        <x:v>Participación VBP (%)</x:v>
      </x:c>
      <x:c r="E5" s="140" t="str">
        <x:v>Peso Törnqvist directo (%)</x:v>
      </x:c>
      <x:c r="F5" s="140" t="str">
        <x:v>Peso implícito exacto (%)</x:v>
      </x:c>
      <x:c r="G5" s="140" t="str">
        <x:v>Diferencia (p. p.)</x:v>
      </x:c>
      <x:c r="H5" s="140" t="str">
        <x:v>PTF de la actividad (%)</x:v>
      </x:c>
      <x:c r="I5" s="140" t="str">
        <x:v>Contribución a la PTF total (pp)</x:v>
      </x:c>
      <x:c r="K5" s="140" t="str">
        <x:v>Indicador de validación</x:v>
      </x:c>
      <x:c r="L5" s="140" t="str">
        <x:v>Resultado</x:v>
      </x:c>
    </x:row>
    <x:row r="6">
      <x:c r="A6" s="145" t="n">
        <x:v>2005</x:v>
      </x:c>
      <x:c r="B6" s="145" t="str">
        <x:v>Agropecuario</x:v>
      </x:c>
      <x:c r="C6" s="202" t="n">
        <x:v>39926</x:v>
      </x:c>
      <x:c r="D6" s="172" t="n">
        <x:f>C6/SUMIF($A$6:$A$185,A6,$C$6:$C$185)</x:f>
        <x:v>0.06795729818421967</x:v>
      </x:c>
      <x:c r="E6" s="172"/>
      <x:c r="F6" s="168" t="n">
        <x:v>0.06910778265732645</x:v>
      </x:c>
      <x:c r="G6" s="208"/>
      <x:c r="H6" s="165" t="n">
        <x:v>-4.609292480816046</x:v>
      </x:c>
      <x:c r="I6" s="171" t="n">
        <x:f>F6*H6</x:f>
        <x:v>-0.31853798296828434</x:v>
      </x:c>
      <x:c r="K6" s="149" t="str">
        <x:v>Periodo con VBP directo</x:v>
      </x:c>
      <x:c r="L6" s="145" t="str">
        <x:v>2006–2024</x:v>
      </x:c>
    </x:row>
    <x:row r="7">
      <x:c r="A7" s="164" t="n">
        <x:v>2005</x:v>
      </x:c>
      <x:c r="B7" s="164" t="str">
        <x:v>Minería</x:v>
      </x:c>
      <x:c r="C7" s="203" t="n">
        <x:v>31009</x:v>
      </x:c>
      <x:c r="D7" s="174" t="n">
        <x:f>C7/SUMIF($A$6:$A$185,A7,$C$6:$C$185)</x:f>
        <x:v>0.052779839187358304</x:v>
      </x:c>
      <x:c r="E7" s="174"/>
      <x:c r="F7" s="169" t="n">
        <x:v>0.0514555592497314</x:v>
      </x:c>
      <x:c r="G7" s="209"/>
      <x:c r="H7" s="166" t="n">
        <x:v>4.584495150191688</x:v>
      </x:c>
      <x:c r="I7" s="173" t="n">
        <x:f>F7*H7</x:f>
        <x:v>0.23589776183079467</x:v>
      </x:c>
      <x:c r="K7" s="150" t="str">
        <x:v>Comparaciones</x:v>
      </x:c>
      <x:c r="L7" s="146" t="n">
        <x:v>171</x:v>
      </x:c>
    </x:row>
    <x:row r="8">
      <x:c r="A8" s="146" t="n">
        <x:v>2005</x:v>
      </x:c>
      <x:c r="B8" s="146" t="str">
        <x:v>Manufactura</x:v>
      </x:c>
      <x:c r="C8" s="204" t="n">
        <x:v>155579</x:v>
      </x:c>
      <x:c r="D8" s="176" t="n">
        <x:f>C8/SUMIF($A$6:$A$185,A8,$C$6:$C$185)</x:f>
        <x:v>0.26480810735367205</x:v>
      </x:c>
      <x:c r="E8" s="176"/>
      <x:c r="F8" s="170" t="n">
        <x:v>0.2665230150247372</x:v>
      </x:c>
      <x:c r="G8" s="210"/>
      <x:c r="H8" s="167" t="n">
        <x:v>1.447687090475098</x:v>
      </x:c>
      <x:c r="I8" s="175" t="n">
        <x:f>F8*H8</x:f>
        <x:v>0.3858419281658126</x:v>
      </x:c>
      <x:c r="K8" s="150" t="str">
        <x:v>Diferencia máxima (p. p.)</x:v>
      </x:c>
      <x:c r="L8" s="207" t="n">
        <x:v>0.00030907848406203087</x:v>
      </x:c>
    </x:row>
    <x:row r="9">
      <x:c r="A9" s="164" t="n">
        <x:v>2005</x:v>
      </x:c>
      <x:c r="B9" s="164" t="str">
        <x:v>Servicios públicos</x:v>
      </x:c>
      <x:c r="C9" s="203" t="n">
        <x:v>19103</x:v>
      </x:c>
      <x:c r="D9" s="174" t="n">
        <x:f>C9/SUMIF($A$6:$A$185,A9,$C$6:$C$185)</x:f>
        <x:v>0.032514859169792826</x:v>
      </x:c>
      <x:c r="E9" s="174"/>
      <x:c r="F9" s="169" t="n">
        <x:v>0.033202905987464955</x:v>
      </x:c>
      <x:c r="G9" s="209"/>
      <x:c r="H9" s="166" t="n">
        <x:v>0.3431174026645718</x:v>
      </x:c>
      <x:c r="I9" s="173" t="n">
        <x:f>F9*H9</x:f>
        <x:v>0.011392494863334934</x:v>
      </x:c>
      <x:c r="K9" s="150" t="str">
        <x:v>RMSE de la diferencia en participación</x:v>
      </x:c>
      <x:c r="L9" s="211" t="n">
        <x:v>6.420616351435762e-7</x:v>
      </x:c>
    </x:row>
    <x:row r="10">
      <x:c r="A10" s="146" t="n">
        <x:v>2005</x:v>
      </x:c>
      <x:c r="B10" s="146" t="str">
        <x:v>Construcción</x:v>
      </x:c>
      <x:c r="C10" s="204" t="n">
        <x:v>44649</x:v>
      </x:c>
      <x:c r="D10" s="176" t="n">
        <x:f>C10/SUMIF($A$6:$A$185,A10,$C$6:$C$185)</x:f>
        <x:v>0.07599622818782807</x:v>
      </x:c>
      <x:c r="E10" s="176"/>
      <x:c r="F10" s="170" t="n">
        <x:v>0.07343856036019883</x:v>
      </x:c>
      <x:c r="G10" s="210"/>
      <x:c r="H10" s="167" t="n">
        <x:v>6.347841538002023</x:v>
      </x:c>
      <x:c r="I10" s="175" t="n">
        <x:f>F10*H10</x:f>
        <x:v>0.466176343945539</x:v>
      </x:c>
      <x:c r="K10" s="150" t="str">
        <x:v>Suma de pesos implícitos por año</x:v>
      </x:c>
      <x:c r="L10" s="146" t="str">
        <x:v>100%</x:v>
      </x:c>
    </x:row>
    <x:row r="11">
      <x:c r="A11" s="164" t="n">
        <x:v>2005</x:v>
      </x:c>
      <x:c r="B11" s="164" t="str">
        <x:v>Comercio y hotelería</x:v>
      </x:c>
      <x:c r="C11" s="203" t="n">
        <x:v>73072</x:v>
      </x:c>
      <x:c r="D11" s="174" t="n">
        <x:f>C11/SUMIF($A$6:$A$185,A11,$C$6:$C$185)</x:f>
        <x:v>0.12437448512040523</x:v>
      </x:c>
      <x:c r="E11" s="174"/>
      <x:c r="F11" s="169" t="n">
        <x:v>0.12445648819044325</x:v>
      </x:c>
      <x:c r="G11" s="209"/>
      <x:c r="H11" s="166" t="n">
        <x:v>1.328376354438846</x:v>
      </x:c>
      <x:c r="I11" s="173" t="n">
        <x:f>F11*H11</x:f>
        <x:v>0.1653250560686823</x:v>
      </x:c>
      <x:c r="K11" s="150" t="str">
        <x:v>Tratamiento de 2005</x:v>
      </x:c>
      <x:c r="L11" s="148" t="str">
        <x:v>Peso implícito exacto; no hay VBP Base 2015 público para 2004</x:v>
      </x:c>
    </x:row>
    <x:row r="12">
      <x:c r="A12" s="146" t="n">
        <x:v>2005</x:v>
      </x:c>
      <x:c r="B12" s="146" t="str">
        <x:v>Transporte y comunicaciones</x:v>
      </x:c>
      <x:c r="C12" s="204" t="n">
        <x:v>51949</x:v>
      </x:c>
      <x:c r="D12" s="176" t="n">
        <x:f>C12/SUMIF($A$6:$A$185,A12,$C$6:$C$185)</x:f>
        <x:v>0.08842142171447245</x:v>
      </x:c>
      <x:c r="E12" s="176"/>
      <x:c r="F12" s="170" t="n">
        <x:v>0.08762929871471975</x:v>
      </x:c>
      <x:c r="G12" s="210"/>
      <x:c r="H12" s="167" t="n">
        <x:v>2.044413994839967</x:v>
      </x:c>
      <x:c r="I12" s="175" t="n">
        <x:f>F12*H12</x:f>
        <x:v>0.17915056465038498</x:v>
      </x:c>
      <x:c r="K12" s="150" t="str">
        <x:v>Fuente de contribución</x:v>
      </x:c>
      <x:c r="L12" s="148" t="str">
        <x:v>Peso implícito × PTF de la actividad</x:v>
      </x:c>
    </x:row>
    <x:row r="13">
      <x:c r="A13" s="164" t="n">
        <x:v>2005</x:v>
      </x:c>
      <x:c r="B13" s="164" t="str">
        <x:v>Finanzas</x:v>
      </x:c>
      <x:c r="C13" s="203" t="n">
        <x:v>81260</x:v>
      </x:c>
      <x:c r="D13" s="174" t="n">
        <x:f>C13/SUMIF($A$6:$A$185,A13,$C$6:$C$185)</x:f>
        <x:v>0.13831112684590718</x:v>
      </x:c>
      <x:c r="E13" s="174"/>
      <x:c r="F13" s="169" t="n">
        <x:v>0.13933442595151682</x:v>
      </x:c>
      <x:c r="G13" s="209"/>
      <x:c r="H13" s="166" t="n">
        <x:v>-3.458526257493652</x:v>
      </x:c>
      <x:c r="I13" s="173" t="n">
        <x:f>F13*H13</x:f>
        <x:v>-0.4818917707261259</x:v>
      </x:c>
    </x:row>
    <x:row r="14" ht="25.5" customHeight="1">
      <x:c r="A14" s="146" t="n">
        <x:v>2005</x:v>
      </x:c>
      <x:c r="B14" s="146" t="str">
        <x:v>Servicios sociales y personales</x:v>
      </x:c>
      <x:c r="C14" s="204" t="n">
        <x:v>90969</x:v>
      </x:c>
      <x:c r="D14" s="176" t="n">
        <x:f>C14/SUMIF($A$6:$A$185,A14,$C$6:$C$185)</x:f>
        <x:v>0.1548366342363442</x:v>
      </x:c>
      <x:c r="E14" s="176"/>
      <x:c r="F14" s="170" t="n">
        <x:v>0.15485196386386152</x:v>
      </x:c>
      <x:c r="G14" s="210"/>
      <x:c r="H14" s="167" t="n">
        <x:v>-3.68185866904421</x:v>
      </x:c>
      <x:c r="I14" s="175" t="n">
        <x:f>F14*H14</x:f>
        <x:v>-0.5701430455706793</x:v>
      </x:c>
      <x:c r="K14" s="140" t="str">
        <x:v>Actividad</x:v>
      </x:c>
      <x:c r="L14" s="140" t="str">
        <x:v>Peso implícito promedio (%)</x:v>
      </x:c>
      <x:c r="M14" s="140" t="str">
        <x:v>Contribución promedio (pp)</x:v>
      </x:c>
    </x:row>
    <x:row r="15">
      <x:c r="A15" s="164" t="n">
        <x:v>2006</x:v>
      </x:c>
      <x:c r="B15" s="164" t="str">
        <x:v>Agropecuario</x:v>
      </x:c>
      <x:c r="C15" s="203" t="n">
        <x:v>42954</x:v>
      </x:c>
      <x:c r="D15" s="174" t="n">
        <x:f>C15/SUMIF($A$6:$A$185,A15,$C$6:$C$185)</x:f>
        <x:v>0.06434786256157045</x:v>
      </x:c>
      <x:c r="E15" s="174" t="n">
        <x:f>(D15+D6)/2</x:f>
        <x:v>0.06615258037289506</x:v>
      </x:c>
      <x:c r="F15" s="169" t="n">
        <x:v>0.0661532994524544</x:v>
      </x:c>
      <x:c r="G15" s="209" t="n">
        <x:f>(F15-E15)*100</x:f>
        <x:v>0.00007190795593414734</x:v>
      </x:c>
      <x:c r="H15" s="166" t="n">
        <x:v>2.731897624932886</x:v>
      </x:c>
      <x:c r="I15" s="173" t="n">
        <x:f>F15*H15</x:f>
        <x:v>0.18072404165563416</x:v>
      </x:c>
      <x:c r="K15" s="145" t="str">
        <x:v>Agropecuario</x:v>
      </x:c>
      <x:c r="L15" s="172" t="n">
        <x:f>AVERAGEIF($B$6:$B$185,K15,$F$6:$F$185)</x:f>
        <x:v>0.06111395756281176</x:v>
      </x:c>
      <x:c r="M15" s="171" t="n">
        <x:f>AVERAGEIF($B$6:$B$185,K15,$I$6:$I$185)</x:f>
        <x:v>0.05633938378942453</x:v>
      </x:c>
    </x:row>
    <x:row r="16">
      <x:c r="A16" s="146" t="n">
        <x:v>2006</x:v>
      </x:c>
      <x:c r="B16" s="146" t="str">
        <x:v>Minería</x:v>
      </x:c>
      <x:c r="C16" s="204" t="n">
        <x:v>35926</x:v>
      </x:c>
      <x:c r="D16" s="176" t="n">
        <x:f>C16/SUMIF($A$6:$A$185,A16,$C$6:$C$185)</x:f>
        <x:v>0.05381946525089584</x:v>
      </x:c>
      <x:c r="E16" s="176" t="n">
        <x:f>(D16+D7)/2</x:f>
        <x:v>0.053299652219127074</x:v>
      </x:c>
      <x:c r="F16" s="170" t="n">
        <x:v>0.053301250630432805</x:v>
      </x:c>
      <x:c r="G16" s="210" t="n">
        <x:f>(F16-E16)*100</x:f>
        <x:v>0.00015984113057310179</x:v>
      </x:c>
      <x:c r="H16" s="167" t="n">
        <x:v>-3.132700869851751</x:v>
      </x:c>
      <x:c r="I16" s="175" t="n">
        <x:f>F16*H16</x:f>
        <x:v>-0.16697687421414303</x:v>
      </x:c>
      <x:c r="K16" s="164" t="str">
        <x:v>Minería</x:v>
      </x:c>
      <x:c r="L16" s="174" t="n">
        <x:f>AVERAGEIF($B$6:$B$185,K16,$F$6:$F$185)</x:f>
        <x:v>0.060812389672152134</x:v>
      </x:c>
      <x:c r="M16" s="173" t="n">
        <x:f>AVERAGEIF($B$6:$B$185,K16,$I$6:$I$185)</x:f>
        <x:v>-0.11483724381149556</x:v>
      </x:c>
    </x:row>
    <x:row r="17">
      <x:c r="A17" s="164" t="n">
        <x:v>2006</x:v>
      </x:c>
      <x:c r="B17" s="164" t="str">
        <x:v>Manufactura</x:v>
      </x:c>
      <x:c r="C17" s="203" t="n">
        <x:v>179219</x:v>
      </x:c>
      <x:c r="D17" s="174" t="n">
        <x:f>C17/SUMIF($A$6:$A$185,A17,$C$6:$C$185)</x:f>
        <x:v>0.26848162174470586</x:v>
      </x:c>
      <x:c r="E17" s="174" t="n">
        <x:f>(D17+D8)/2</x:f>
        <x:v>0.26664486454918895</x:v>
      </x:c>
      <x:c r="F17" s="169" t="n">
        <x:v>0.26664349387688413</x:v>
      </x:c>
      <x:c r="G17" s="209" t="n">
        <x:f>(F17-E17)*100</x:f>
        <x:v>-0.00013706723048234615</x:v>
      </x:c>
      <x:c r="H17" s="166" t="n">
        <x:v>2.553355351769602</x:v>
      </x:c>
      <x:c r="I17" s="173" t="n">
        <x:f>F17*H17</x:f>
        <x:v>0.6808355921050873</x:v>
      </x:c>
      <x:c r="K17" s="146" t="str">
        <x:v>Manufactura</x:v>
      </x:c>
      <x:c r="L17" s="176" t="n">
        <x:f>AVERAGEIF($B$6:$B$185,K17,$F$6:$F$185)</x:f>
        <x:v>0.23426094631934918</x:v>
      </x:c>
      <x:c r="M17" s="175" t="n">
        <x:f>AVERAGEIF($B$6:$B$185,K17,$I$6:$I$185)</x:f>
        <x:v>-0.057771038071094606</x:v>
      </x:c>
    </x:row>
    <x:row r="18">
      <x:c r="A18" s="146" t="n">
        <x:v>2006</x:v>
      </x:c>
      <x:c r="B18" s="146" t="str">
        <x:v>Servicios públicos</x:v>
      </x:c>
      <x:c r="C18" s="204" t="n">
        <x:v>20568</x:v>
      </x:c>
      <x:c r="D18" s="176" t="n">
        <x:f>C18/SUMIF($A$6:$A$185,A18,$C$6:$C$185)</x:f>
        <x:v>0.03081219064968061</x:v>
      </x:c>
      <x:c r="E18" s="176" t="n">
        <x:f>(D18+D9)/2</x:f>
        <x:v>0.031663524909736715</x:v>
      </x:c>
      <x:c r="F18" s="170" t="n">
        <x:v>0.03166346176551116</x:v>
      </x:c>
      <x:c r="G18" s="210" t="n">
        <x:f>(F18-E18)*100</x:f>
        <x:v>-0.00000631442255566439</x:v>
      </x:c>
      <x:c r="H18" s="167" t="n">
        <x:v>1.298625051503958</x:v>
      </x:c>
      <x:c r="I18" s="175" t="n">
        <x:f>F18*H18</x:f>
        <x:v>0.04111896466603053</x:v>
      </x:c>
      <x:c r="K18" s="164" t="str">
        <x:v>Servicios públicos</x:v>
      </x:c>
      <x:c r="L18" s="174" t="n">
        <x:f>AVERAGEIF($B$6:$B$185,K18,$F$6:$F$185)</x:f>
        <x:v>0.034241988123536855</x:v>
      </x:c>
      <x:c r="M18" s="173" t="n">
        <x:f>AVERAGEIF($B$6:$B$185,K18,$I$6:$I$185)</x:f>
        <x:v>-0.00791894898236196</x:v>
      </x:c>
    </x:row>
    <x:row r="19">
      <x:c r="A19" s="164" t="n">
        <x:v>2006</x:v>
      </x:c>
      <x:c r="B19" s="164" t="str">
        <x:v>Construcción</x:v>
      </x:c>
      <x:c r="C19" s="203" t="n">
        <x:v>53674</x:v>
      </x:c>
      <x:c r="D19" s="174" t="n">
        <x:f>C19/SUMIF($A$6:$A$185,A19,$C$6:$C$185)</x:f>
        <x:v>0.08040711400870076</x:v>
      </x:c>
      <x:c r="E19" s="174" t="n">
        <x:f>(D19+D10)/2</x:f>
        <x:v>0.07820167109826442</x:v>
      </x:c>
      <x:c r="F19" s="169" t="n">
        <x:v>0.07820092588392516</x:v>
      </x:c>
      <x:c r="G19" s="209" t="n">
        <x:f>(F19-E19)*100</x:f>
        <x:v>-0.0000745214339264999</x:v>
      </x:c>
      <x:c r="H19" s="166" t="n">
        <x:v>2.202489191980401</x:v>
      </x:c>
      <x:c r="I19" s="173" t="n">
        <x:f>F19*H19</x:f>
        <x:v>0.17223669406220554</x:v>
      </x:c>
      <x:c r="K19" s="146" t="str">
        <x:v>Construcción</x:v>
      </x:c>
      <x:c r="L19" s="176" t="n">
        <x:f>AVERAGEIF($B$6:$B$185,K19,$F$6:$F$185)</x:f>
        <x:v>0.08642956894925555</x:v>
      </x:c>
      <x:c r="M19" s="175" t="n">
        <x:f>AVERAGEIF($B$6:$B$185,K19,$I$6:$I$185)</x:f>
        <x:v>-0.05406124624315849</x:v>
      </x:c>
    </x:row>
    <x:row r="20">
      <x:c r="A20" s="146" t="n">
        <x:v>2006</x:v>
      </x:c>
      <x:c r="B20" s="146" t="str">
        <x:v>Comercio y hotelería</x:v>
      </x:c>
      <x:c r="C20" s="204" t="n">
        <x:v>83123</x:v>
      </x:c>
      <x:c r="D20" s="176" t="n">
        <x:f>C20/SUMIF($A$6:$A$185,A20,$C$6:$C$185)</x:f>
        <x:v>0.12452361548878849</x:v>
      </x:c>
      <x:c r="E20" s="176" t="n">
        <x:f>(D20+D11)/2</x:f>
        <x:v>0.12444905030459685</x:v>
      </x:c>
      <x:c r="F20" s="170" t="n">
        <x:v>0.12444795568892732</x:v>
      </x:c>
      <x:c r="G20" s="210" t="n">
        <x:f>(F20-E20)*100</x:f>
        <x:v>-0.00010946156695362808</x:v>
      </x:c>
      <x:c r="H20" s="167" t="n">
        <x:v>4.393378962035465</x:v>
      </x:c>
      <x:c r="I20" s="175" t="n">
        <x:f>F20*H20</x:f>
        <x:v>0.546747030392055</x:v>
      </x:c>
      <x:c r="K20" s="164" t="str">
        <x:v>Comercio y hotelería</x:v>
      </x:c>
      <x:c r="L20" s="174" t="n">
        <x:f>AVERAGEIF($B$6:$B$185,K20,$F$6:$F$185)</x:f>
        <x:v>0.12975852179698788</x:v>
      </x:c>
      <x:c r="M20" s="173" t="n">
        <x:f>AVERAGEIF($B$6:$B$185,K20,$I$6:$I$185)</x:f>
        <x:v>0.13011706667735695</x:v>
      </x:c>
    </x:row>
    <x:row r="21">
      <x:c r="A21" s="164" t="n">
        <x:v>2006</x:v>
      </x:c>
      <x:c r="B21" s="164" t="str">
        <x:v>Transporte y comunicaciones</x:v>
      </x:c>
      <x:c r="C21" s="203" t="n">
        <x:v>60288</x:v>
      </x:c>
      <x:c r="D21" s="174" t="n">
        <x:f>C21/SUMIF($A$6:$A$185,A21,$C$6:$C$185)</x:f>
        <x:v>0.0903153126161</x:v>
      </x:c>
      <x:c r="E21" s="174" t="n">
        <x:f>(D21+D12)/2</x:f>
        <x:v>0.08936836716528623</x:v>
      </x:c>
      <x:c r="F21" s="169" t="n">
        <x:v>0.08936904448882227</x:v>
      </x:c>
      <x:c r="G21" s="209" t="n">
        <x:f>(F21-E21)*100</x:f>
        <x:v>0.00006773235360357788</x:v>
      </x:c>
      <x:c r="H21" s="166" t="n">
        <x:v>0.844033398247376</x:v>
      </x:c>
      <x:c r="I21" s="173" t="n">
        <x:f>F21*H21</x:f>
        <x:v>0.07543045831802159</x:v>
      </x:c>
      <x:c r="K21" s="146" t="str">
        <x:v>Transporte y comunicaciones</x:v>
      </x:c>
      <x:c r="L21" s="176" t="n">
        <x:f>AVERAGEIF($B$6:$B$185,K21,$F$6:$F$185)</x:f>
        <x:v>0.08630724234416062</x:v>
      </x:c>
      <x:c r="M21" s="175" t="n">
        <x:f>AVERAGEIF($B$6:$B$185,K21,$I$6:$I$185)</x:f>
        <x:v>0.016957551893450863</x:v>
      </x:c>
    </x:row>
    <x:row r="22">
      <x:c r="A22" s="146" t="n">
        <x:v>2006</x:v>
      </x:c>
      <x:c r="B22" s="146" t="str">
        <x:v>Finanzas</x:v>
      </x:c>
      <x:c r="C22" s="204" t="n">
        <x:v>90278</x:v>
      </x:c>
      <x:c r="D22" s="176" t="n">
        <x:f>C22/SUMIF($A$6:$A$185,A22,$C$6:$C$185)</x:f>
        <x:v>0.13524226699104758</x:v>
      </x:c>
      <x:c r="E22" s="176" t="n">
        <x:f>(D22+D13)/2</x:f>
        <x:v>0.13677669691847738</x:v>
      </x:c>
      <x:c r="F22" s="170" t="n">
        <x:v>0.13677557600003365</x:v>
      </x:c>
      <x:c r="G22" s="210" t="n">
        <x:f>(F22-E22)*100</x:f>
        <x:v>-0.00011209184437310782</x:v>
      </x:c>
      <x:c r="H22" s="167" t="n">
        <x:v>1.429880416572186</x:v>
      </x:c>
      <x:c r="I22" s="175" t="n">
        <x:f>F22*H22</x:f>
        <x:v>0.1955727175878288</x:v>
      </x:c>
      <x:c r="K22" s="164" t="str">
        <x:v>Finanzas</x:v>
      </x:c>
      <x:c r="L22" s="174" t="n">
        <x:f>AVERAGEIF($B$6:$B$185,K22,$F$6:$F$185)</x:f>
        <x:v>0.14659333605246344</x:v>
      </x:c>
      <x:c r="M22" s="173" t="n">
        <x:f>AVERAGEIF($B$6:$B$185,K22,$I$6:$I$185)</x:f>
        <x:v>-0.1539197595450873</x:v>
      </x:c>
    </x:row>
    <x:row r="23">
      <x:c r="A23" s="164" t="n">
        <x:v>2006</x:v>
      </x:c>
      <x:c r="B23" s="164" t="str">
        <x:v>Servicios sociales y personales</x:v>
      </x:c>
      <x:c r="C23" s="203" t="n">
        <x:v>101498</x:v>
      </x:c>
      <x:c r="D23" s="174" t="n">
        <x:f>C23/SUMIF($A$6:$A$185,A23,$C$6:$C$185)</x:f>
        <x:v>0.15205055068851045</x:v>
      </x:c>
      <x:c r="E23" s="174" t="n">
        <x:f>(D23+D14)/2</x:f>
        <x:v>0.15344359246242734</x:v>
      </x:c>
      <x:c r="F23" s="169" t="n">
        <x:v>0.15344499221300884</x:v>
      </x:c>
      <x:c r="G23" s="209" t="n">
        <x:f>(F23-E23)*100</x:f>
        <x:v>0.0001399750581498882</x:v>
      </x:c>
      <x:c r="H23" s="166" t="n">
        <x:v>3.130162672033309</x:v>
      </x:c>
      <x:c r="I23" s="173" t="n">
        <x:f>F23*H23</x:f>
        <x:v>0.480307786835602</x:v>
      </x:c>
      <x:c r="K23" s="146" t="str">
        <x:v>Servicios sociales y personales</x:v>
      </x:c>
      <x:c r="L23" s="176" t="n">
        <x:f>AVERAGEIF($B$6:$B$185,K23,$F$6:$F$185)</x:f>
        <x:v>0.16048204917928272</x:v>
      </x:c>
      <x:c r="M23" s="175" t="n">
        <x:f>AVERAGEIF($B$6:$B$185,K23,$I$6:$I$185)</x:f>
        <x:v>0.11199169960367708</x:v>
      </x:c>
    </x:row>
    <x:row r="24">
      <x:c r="A24" s="146" t="n">
        <x:v>2007</x:v>
      </x:c>
      <x:c r="B24" s="146" t="str">
        <x:v>Agropecuario</x:v>
      </x:c>
      <x:c r="C24" s="204" t="n">
        <x:v>46679</x:v>
      </x:c>
      <x:c r="D24" s="176" t="n">
        <x:f>C24/SUMIF($A$6:$A$185,A24,$C$6:$C$185)</x:f>
        <x:v>0.0627350261939129</x:v>
      </x:c>
      <x:c r="E24" s="176" t="n">
        <x:f>(D24+D15)/2</x:f>
        <x:v>0.06354144437774167</x:v>
      </x:c>
      <x:c r="F24" s="170" t="n">
        <x:v>0.0635414915606852</x:v>
      </x:c>
      <x:c r="G24" s="210" t="n">
        <x:f>(F24-E24)*100</x:f>
        <x:v>0.000004718294352445973</x:v>
      </x:c>
      <x:c r="H24" s="167" t="n">
        <x:v>2.323206842531002</x:v>
      </x:c>
      <x:c r="I24" s="175" t="n">
        <x:f>F24*H24</x:f>
        <x:v>0.14762002797840978</x:v>
      </x:c>
    </x:row>
    <x:row r="25">
      <x:c r="A25" s="164" t="n">
        <x:v>2007</x:v>
      </x:c>
      <x:c r="B25" s="164" t="str">
        <x:v>Minería</x:v>
      </x:c>
      <x:c r="C25" s="203" t="n">
        <x:v>37328</x:v>
      </x:c>
      <x:c r="D25" s="174" t="n">
        <x:f>C25/SUMIF($A$6:$A$185,A25,$C$6:$C$185)</x:f>
        <x:v>0.050167592659790934</x:v>
      </x:c>
      <x:c r="E25" s="174" t="n">
        <x:f>(D25+D16)/2</x:f>
        <x:v>0.051993528955343385</x:v>
      </x:c>
      <x:c r="F25" s="169" t="n">
        <x:v>0.051993565962617255</x:v>
      </x:c>
      <x:c r="G25" s="209" t="n">
        <x:f>(F25-E25)*100</x:f>
        <x:v>0.0000037007273870348634</x:v>
      </x:c>
      <x:c r="H25" s="166" t="n">
        <x:v>-4.324306909079369</x:v>
      </x:c>
      <x:c r="I25" s="173" t="n">
        <x:f>F25*H25</x:f>
        <x:v>-0.2248361365198197</x:v>
      </x:c>
    </x:row>
    <x:row r="26">
      <x:c r="A26" s="146" t="n">
        <x:v>2007</x:v>
      </x:c>
      <x:c r="B26" s="146" t="str">
        <x:v>Manufactura</x:v>
      </x:c>
      <x:c r="C26" s="204" t="n">
        <x:v>199190</x:v>
      </x:c>
      <x:c r="D26" s="176" t="n">
        <x:f>C26/SUMIF($A$6:$A$185,A26,$C$6:$C$185)</x:f>
        <x:v>0.26770474662193944</x:v>
      </x:c>
      <x:c r="E26" s="176" t="n">
        <x:f>(D26+D17)/2</x:f>
        <x:v>0.2680931841833226</x:v>
      </x:c>
      <x:c r="F26" s="170" t="n">
        <x:v>0.26809338739439104</x:v>
      </x:c>
      <x:c r="G26" s="210" t="n">
        <x:f>(F26-E26)*100</x:f>
        <x:v>0.00002032110684169197</x:v>
      </x:c>
      <x:c r="H26" s="167" t="n">
        <x:v>0.007352163992550231</x:v>
      </x:c>
      <x:c r="I26" s="175" t="n">
        <x:f>F26*H26</x:f>
        <x:v>0.001971066549441862</x:v>
      </x:c>
    </x:row>
    <x:row r="27">
      <x:c r="A27" s="164" t="n">
        <x:v>2007</x:v>
      </x:c>
      <x:c r="B27" s="164" t="str">
        <x:v>Servicios públicos</x:v>
      </x:c>
      <x:c r="C27" s="203" t="n">
        <x:v>22446</x:v>
      </x:c>
      <x:c r="D27" s="174" t="n">
        <x:f>C27/SUMIF($A$6:$A$185,A27,$C$6:$C$185)</x:f>
        <x:v>0.030166678762367855</x:v>
      </x:c>
      <x:c r="E27" s="174" t="n">
        <x:f>(D27+D18)/2</x:f>
        <x:v>0.030489434706024235</x:v>
      </x:c>
      <x:c r="F27" s="169" t="n">
        <x:v>0.03048878544935916</x:v>
      </x:c>
      <x:c r="G27" s="209" t="n">
        <x:f>(F27-E27)*100</x:f>
        <x:v>-0.00006492566650764808</x:v>
      </x:c>
      <x:c r="H27" s="166" t="n">
        <x:v>0.4591468373219634</x:v>
      </x:c>
      <x:c r="I27" s="173" t="n">
        <x:f>F27*H27</x:f>
        <x:v>0.013998829412861154</x:v>
      </x:c>
    </x:row>
    <x:row r="28">
      <x:c r="A28" s="146" t="n">
        <x:v>2007</x:v>
      </x:c>
      <x:c r="B28" s="146" t="str">
        <x:v>Construcción</x:v>
      </x:c>
      <x:c r="C28" s="204" t="n">
        <x:v>61450</x:v>
      </x:c>
      <x:c r="D28" s="176" t="n">
        <x:f>C28/SUMIF($A$6:$A$185,A28,$C$6:$C$185)</x:f>
        <x:v>0.08258675977668647</x:v>
      </x:c>
      <x:c r="E28" s="176" t="n">
        <x:f>(D28+D19)/2</x:f>
        <x:v>0.08149693689269362</x:v>
      </x:c>
      <x:c r="F28" s="170" t="n">
        <x:v>0.08149758431842447</x:v>
      </x:c>
      <x:c r="G28" s="210" t="n">
        <x:f>(F28-E28)*100</x:f>
        <x:v>0.00006474257308458631</x:v>
      </x:c>
      <x:c r="H28" s="167" t="n">
        <x:v>-0.7637413976546483</x:v>
      </x:c>
      <x:c r="I28" s="175" t="n">
        <x:f>F28*H28</x:f>
        <x:v>-0.06224307895283105</x:v>
      </x:c>
    </x:row>
    <x:row r="29">
      <x:c r="A29" s="164" t="n">
        <x:v>2007</x:v>
      </x:c>
      <x:c r="B29" s="164" t="str">
        <x:v>Comercio y hotelería</x:v>
      </x:c>
      <x:c r="C29" s="203" t="n">
        <x:v>93172</x:v>
      </x:c>
      <x:c r="D29" s="174" t="n">
        <x:f>C29/SUMIF($A$6:$A$185,A29,$C$6:$C$185)</x:f>
        <x:v>0.125220074563278</x:v>
      </x:c>
      <x:c r="E29" s="174" t="n">
        <x:f>(D29+D20)/2</x:f>
        <x:v>0.12487184502603324</x:v>
      </x:c>
      <x:c r="F29" s="169" t="n">
        <x:v>0.12487261238846659</x:v>
      </x:c>
      <x:c r="G29" s="209" t="n">
        <x:f>(F29-E29)*100</x:f>
        <x:v>0.00007673624333459639</x:v>
      </x:c>
      <x:c r="H29" s="166" t="n">
        <x:v>0.1205458813605063</x:v>
      </x:c>
      <x:c r="I29" s="173" t="n">
        <x:f>F29*H29</x:f>
        <x:v>0.015052879118156582</x:v>
      </x:c>
    </x:row>
    <x:row r="30">
      <x:c r="A30" s="146" t="n">
        <x:v>2007</x:v>
      </x:c>
      <x:c r="B30" s="146" t="str">
        <x:v>Transporte y comunicaciones</x:v>
      </x:c>
      <x:c r="C30" s="204" t="n">
        <x:v>68214</x:v>
      </x:c>
      <x:c r="D30" s="176" t="n">
        <x:f>C30/SUMIF($A$6:$A$185,A30,$C$6:$C$185)</x:f>
        <x:v>0.09167735120271589</x:v>
      </x:c>
      <x:c r="E30" s="176" t="n">
        <x:f>(D30+D21)/2</x:f>
        <x:v>0.09099633190940795</x:v>
      </x:c>
      <x:c r="F30" s="170" t="n">
        <x:v>0.09099640199927216</x:v>
      </x:c>
      <x:c r="G30" s="210" t="n">
        <x:f>(F30-E30)*100</x:f>
        <x:v>0.00000700898642042036</x:v>
      </x:c>
      <x:c r="H30" s="167" t="n">
        <x:v>-1.266182576094153</x:v>
      </x:c>
      <x:c r="I30" s="175" t="n">
        <x:f>F30*H30</x:f>
        <x:v>-0.11521805869873755</x:v>
      </x:c>
    </x:row>
    <x:row r="31">
      <x:c r="A31" s="164" t="n">
        <x:v>2007</x:v>
      </x:c>
      <x:c r="B31" s="164" t="str">
        <x:v>Finanzas</x:v>
      </x:c>
      <x:c r="C31" s="203" t="n">
        <x:v>102361</x:v>
      </x:c>
      <x:c r="D31" s="174" t="n">
        <x:f>C31/SUMIF($A$6:$A$185,A31,$C$6:$C$185)</x:f>
        <x:v>0.1375697854760196</x:v>
      </x:c>
      <x:c r="E31" s="174" t="n">
        <x:f>(D31+D22)/2</x:f>
        <x:v>0.1364060262335336</x:v>
      </x:c>
      <x:c r="F31" s="169" t="n">
        <x:v>0.13640613149633907</x:v>
      </x:c>
      <x:c r="G31" s="209" t="n">
        <x:f>(F31-E31)*100</x:f>
        <x:v>0.000010526280547207278</x:v>
      </x:c>
      <x:c r="H31" s="166" t="n">
        <x:v>-5.517098662999077</x:v>
      </x:c>
      <x:c r="I31" s="173" t="n">
        <x:f>F31*H31</x:f>
        <x:v>-0.7525660857033285</x:v>
      </x:c>
    </x:row>
    <x:row r="32">
      <x:c r="A32" s="146" t="n">
        <x:v>2007</x:v>
      </x:c>
      <x:c r="B32" s="146" t="str">
        <x:v>Servicios sociales y personales</x:v>
      </x:c>
      <x:c r="C32" s="204" t="n">
        <x:v>113226</x:v>
      </x:c>
      <x:c r="D32" s="176" t="n">
        <x:f>C32/SUMIF($A$6:$A$185,A32,$C$6:$C$185)</x:f>
        <x:v>0.1521719847432889</x:v>
      </x:c>
      <x:c r="E32" s="176" t="n">
        <x:f>(D32+D23)/2</x:f>
        <x:v>0.15211126771589967</x:v>
      </x:c>
      <x:c r="F32" s="170" t="n">
        <x:v>0.15211003943044515</x:v>
      </x:c>
      <x:c r="G32" s="210" t="n">
        <x:f>(F32-E32)*100</x:f>
        <x:v>-0.0001228285454513145</x:v>
      </x:c>
      <x:c r="H32" s="167" t="n">
        <x:v>-2.698907028364784</x:v>
      </x:c>
      <x:c r="I32" s="175" t="n">
        <x:f>F32*H32</x:f>
        <x:v>-0.4105308545036729</x:v>
      </x:c>
    </x:row>
    <x:row r="33">
      <x:c r="A33" s="164" t="n">
        <x:v>2008</x:v>
      </x:c>
      <x:c r="B33" s="164" t="str">
        <x:v>Agropecuario</x:v>
      </x:c>
      <x:c r="C33" s="203" t="n">
        <x:v>51206</x:v>
      </x:c>
      <x:c r="D33" s="174" t="n">
        <x:f>C33/SUMIF($A$6:$A$185,A33,$C$6:$C$185)</x:f>
        <x:v>0.060939283261868975</x:v>
      </x:c>
      <x:c r="E33" s="174" t="n">
        <x:f>(D33+D24)/2</x:f>
        <x:v>0.06183715472789093</x:v>
      </x:c>
      <x:c r="F33" s="169" t="n">
        <x:v>0.06183729920908755</x:v>
      </x:c>
      <x:c r="G33" s="209" t="n">
        <x:f>(F33-E33)*100</x:f>
        <x:v>0.000014448119661780723</x:v>
      </x:c>
      <x:c r="H33" s="166" t="n">
        <x:v>-2.892545664586325</x:v>
      </x:c>
      <x:c r="I33" s="173" t="n">
        <x:f>F33*H33</x:f>
        <x:v>-0.17886721173697356</x:v>
      </x:c>
    </x:row>
    <x:row r="34">
      <x:c r="A34" s="146" t="n">
        <x:v>2008</x:v>
      </x:c>
      <x:c r="B34" s="146" t="str">
        <x:v>Minería</x:v>
      </x:c>
      <x:c r="C34" s="204" t="n">
        <x:v>52463</x:v>
      </x:c>
      <x:c r="D34" s="176" t="n">
        <x:f>C34/SUMIF($A$6:$A$185,A34,$C$6:$C$185)</x:f>
        <x:v>0.06243521497026583</x:v>
      </x:c>
      <x:c r="E34" s="176" t="n">
        <x:f>(D34+D25)/2</x:f>
        <x:v>0.05630140381502838</x:v>
      </x:c>
      <x:c r="F34" s="170" t="n">
        <x:v>0.056301536799313025</x:v>
      </x:c>
      <x:c r="G34" s="210" t="n">
        <x:f>(F34-E34)*100</x:f>
        <x:v>0.000013298428464675327</x:v>
      </x:c>
      <x:c r="H34" s="167" t="n">
        <x:v>-2.773676452773486</x:v>
      </x:c>
      <x:c r="I34" s="175" t="n">
        <x:f>F34*H34</x:f>
        <x:v>-0.15616224687521443</x:v>
      </x:c>
    </x:row>
    <x:row r="35">
      <x:c r="A35" s="164" t="n">
        <x:v>2008</x:v>
      </x:c>
      <x:c r="B35" s="164" t="str">
        <x:v>Manufactura</x:v>
      </x:c>
      <x:c r="C35" s="203" t="n">
        <x:v>218622</x:v>
      </x:c>
      <x:c r="D35" s="174" t="n">
        <x:f>C35/SUMIF($A$6:$A$185,A35,$C$6:$C$185)</x:f>
        <x:v>0.26017786949334687</x:v>
      </x:c>
      <x:c r="E35" s="174" t="n">
        <x:f>(D35+D26)/2</x:f>
        <x:v>0.26394130805764315</x:v>
      </x:c>
      <x:c r="F35" s="169" t="n">
        <x:v>0.26394192476515754</x:v>
      </x:c>
      <x:c r="G35" s="209" t="n">
        <x:f>(F35-E35)*100</x:f>
        <x:v>0.00006167075143892475</x:v>
      </x:c>
      <x:c r="H35" s="166" t="n">
        <x:v>-1.336646828157722</x:v>
      </x:c>
      <x:c r="I35" s="173" t="n">
        <x:f>F35*H35</x:f>
        <x:v>-0.3527971365551919</x:v>
      </x:c>
    </x:row>
    <x:row r="36">
      <x:c r="A36" s="146" t="n">
        <x:v>2008</x:v>
      </x:c>
      <x:c r="B36" s="146" t="str">
        <x:v>Servicios públicos</x:v>
      </x:c>
      <x:c r="C36" s="204" t="n">
        <x:v>24959</x:v>
      </x:c>
      <x:c r="D36" s="176" t="n">
        <x:f>C36/SUMIF($A$6:$A$185,A36,$C$6:$C$185)</x:f>
        <x:v>0.02970322952257524</x:v>
      </x:c>
      <x:c r="E36" s="176" t="n">
        <x:f>(D36+D27)/2</x:f>
        <x:v>0.029934954142471548</x:v>
      </x:c>
      <x:c r="F36" s="170" t="n">
        <x:v>0.029933757100009062</x:v>
      </x:c>
      <x:c r="G36" s="210" t="n">
        <x:f>(F36-E36)*100</x:f>
        <x:v>-0.00011970424624863085</x:v>
      </x:c>
      <x:c r="H36" s="167" t="n">
        <x:v>-1.450842986662372</x:v>
      </x:c>
      <x:c r="I36" s="175" t="n">
        <x:f>F36*H36</x:f>
        <x:v>-0.043429181553003134</x:v>
      </x:c>
    </x:row>
    <x:row r="37">
      <x:c r="A37" s="164" t="n">
        <x:v>2008</x:v>
      </x:c>
      <x:c r="B37" s="164" t="str">
        <x:v>Construcción</x:v>
      </x:c>
      <x:c r="C37" s="203" t="n">
        <x:v>74831</x:v>
      </x:c>
      <x:c r="D37" s="174" t="n">
        <x:f>C37/SUMIF($A$6:$A$185,A37,$C$6:$C$185)</x:f>
        <x:v>0.08905494484570006</x:v>
      </x:c>
      <x:c r="E37" s="174" t="n">
        <x:f>(D37+D28)/2</x:f>
        <x:v>0.08582085231119327</x:v>
      </x:c>
      <x:c r="F37" s="169" t="n">
        <x:v>0.08582124832884787</x:v>
      </x:c>
      <x:c r="G37" s="209" t="n">
        <x:f>(F37-E37)*100</x:f>
        <x:v>0.000039601765459973404</x:v>
      </x:c>
      <x:c r="H37" s="166" t="n">
        <x:v>2.942703423551406</x:v>
      </x:c>
      <x:c r="I37" s="173" t="n">
        <x:f>F37*H37</x:f>
        <x:v>0.25254648127075596</x:v>
      </x:c>
    </x:row>
    <x:row r="38">
      <x:c r="A38" s="146" t="n">
        <x:v>2008</x:v>
      </x:c>
      <x:c r="B38" s="146" t="str">
        <x:v>Comercio y hotelería</x:v>
      </x:c>
      <x:c r="C38" s="204" t="n">
        <x:v>102827</x:v>
      </x:c>
      <x:c r="D38" s="176" t="n">
        <x:f>C38/SUMIF($A$6:$A$185,A38,$C$6:$C$185)</x:f>
        <x:v>0.1223724501028825</x:v>
      </x:c>
      <x:c r="E38" s="176" t="n">
        <x:f>(D38+D29)/2</x:f>
        <x:v>0.12379626233308025</x:v>
      </x:c>
      <x:c r="F38" s="170" t="n">
        <x:v>0.12379722364251451</x:v>
      </x:c>
      <x:c r="G38" s="210" t="n">
        <x:f>(F38-E38)*100</x:f>
        <x:v>0.00009613094342636463</x:v>
      </x:c>
      <x:c r="H38" s="167" t="n">
        <x:v>-0.3059487509157224</x:v>
      </x:c>
      <x:c r="I38" s="175" t="n">
        <x:f>F38*H38</x:f>
        <x:v>-0.03787560594026165</x:v>
      </x:c>
    </x:row>
    <x:row r="39">
      <x:c r="A39" s="164" t="n">
        <x:v>2008</x:v>
      </x:c>
      <x:c r="B39" s="164" t="str">
        <x:v>Transporte y comunicaciones</x:v>
      </x:c>
      <x:c r="C39" s="203" t="n">
        <x:v>75735</x:v>
      </x:c>
      <x:c r="D39" s="174" t="n">
        <x:f>C39/SUMIF($A$6:$A$185,A39,$C$6:$C$185)</x:f>
        <x:v>0.09013077799159565</x:v>
      </x:c>
      <x:c r="E39" s="174" t="n">
        <x:f>(D39+D30)/2</x:f>
        <x:v>0.09090406459715578</x:v>
      </x:c>
      <x:c r="F39" s="169" t="n">
        <x:v>0.09090427710559126</x:v>
      </x:c>
      <x:c r="G39" s="209" t="n">
        <x:f>(F39-E39)*100</x:f>
        <x:v>0.000021250843548759057</x:v>
      </x:c>
      <x:c r="H39" s="166" t="n">
        <x:v>-0.7215951766155886</x:v>
      </x:c>
      <x:c r="I39" s="173" t="n">
        <x:f>F39*H39</x:f>
        <x:v>-0.06559608789312153</x:v>
      </x:c>
    </x:row>
    <x:row r="40">
      <x:c r="A40" s="146" t="n">
        <x:v>2008</x:v>
      </x:c>
      <x:c r="B40" s="146" t="str">
        <x:v>Finanzas</x:v>
      </x:c>
      <x:c r="C40" s="204" t="n">
        <x:v>116713</x:v>
      </x:c>
      <x:c r="D40" s="176" t="n">
        <x:f>C40/SUMIF($A$6:$A$185,A40,$C$6:$C$185)</x:f>
        <x:v>0.13889791366915036</x:v>
      </x:c>
      <x:c r="E40" s="176" t="n">
        <x:f>(D40+D31)/2</x:f>
        <x:v>0.138233849572585</x:v>
      </x:c>
      <x:c r="F40" s="170" t="n">
        <x:v>0.13823417310533465</x:v>
      </x:c>
      <x:c r="G40" s="210" t="n">
        <x:f>(F40-E40)*100</x:f>
        <x:v>0.00003235327496464713</x:v>
      </x:c>
      <x:c r="H40" s="167" t="n">
        <x:v>-3.130106145545206</x:v>
      </x:c>
      <x:c r="I40" s="175" t="n">
        <x:f>F40*H40</x:f>
        <x:v>-0.43268763476136785</x:v>
      </x:c>
    </x:row>
    <x:row r="41">
      <x:c r="A41" s="164" t="n">
        <x:v>2008</x:v>
      </x:c>
      <x:c r="B41" s="164" t="str">
        <x:v>Servicios sociales y personales</x:v>
      </x:c>
      <x:c r="C41" s="203" t="n">
        <x:v>122923</x:v>
      </x:c>
      <x:c r="D41" s="174" t="n">
        <x:f>C41/SUMIF($A$6:$A$185,A41,$C$6:$C$185)</x:f>
        <x:v>0.14628831614261453</x:v>
      </x:c>
      <x:c r="E41" s="174" t="n">
        <x:f>(D41+D32)/2</x:f>
        <x:v>0.14923015044295174</x:v>
      </x:c>
      <x:c r="F41" s="169" t="n">
        <x:v>0.1492285599441445</x:v>
      </x:c>
      <x:c r="G41" s="209" t="n">
        <x:f>(F41-E41)*100</x:f>
        <x:v>-0.00015904988072412696</x:v>
      </x:c>
      <x:c r="H41" s="166" t="n">
        <x:v>1.422997835512152</x:v>
      </x:c>
      <x:c r="I41" s="173" t="n">
        <x:f>F41*H41</x:f>
        <x:v>0.21235191779711304</x:v>
      </x:c>
    </x:row>
    <x:row r="42">
      <x:c r="A42" s="146" t="n">
        <x:v>2009</x:v>
      </x:c>
      <x:c r="B42" s="146" t="str">
        <x:v>Agropecuario</x:v>
      </x:c>
      <x:c r="C42" s="204" t="n">
        <x:v>52293</x:v>
      </x:c>
      <x:c r="D42" s="176" t="n">
        <x:f>C42/SUMIF($A$6:$A$185,A42,$C$6:$C$185)</x:f>
        <x:v>0.05994126574385262</x:v>
      </x:c>
      <x:c r="E42" s="176" t="n">
        <x:f>(D42+D33)/2</x:f>
        <x:v>0.0604402745028608</x:v>
      </x:c>
      <x:c r="F42" s="170" t="n">
        <x:v>0.06044037564908492</x:v>
      </x:c>
      <x:c r="G42" s="210" t="n">
        <x:f>(F42-E42)*100</x:f>
        <x:v>0.000010114622412543683</x:v>
      </x:c>
      <x:c r="H42" s="167" t="n">
        <x:v>-2.590852329266908</x:v>
      </x:c>
      <x:c r="I42" s="175" t="n">
        <x:f>F42*H42</x:f>
        <x:v>-0.15659208803219857</x:v>
      </x:c>
    </x:row>
    <x:row r="43">
      <x:c r="A43" s="164" t="n">
        <x:v>2009</x:v>
      </x:c>
      <x:c r="B43" s="164" t="str">
        <x:v>Minería</x:v>
      </x:c>
      <x:c r="C43" s="203" t="n">
        <x:v>51447</x:v>
      </x:c>
      <x:c r="D43" s="174" t="n">
        <x:f>C43/SUMIF($A$6:$A$185,A43,$C$6:$C$185)</x:f>
        <x:v>0.05897153153814059</x:v>
      </x:c>
      <x:c r="E43" s="174" t="n">
        <x:f>(D43+D34)/2</x:f>
        <x:v>0.060703373254203205</x:v>
      </x:c>
      <x:c r="F43" s="169" t="n">
        <x:v>0.060703475923722196</x:v>
      </x:c>
      <x:c r="G43" s="209" t="n">
        <x:f>(F43-E43)*100</x:f>
        <x:v>0.000010266951899068344</x:v>
      </x:c>
      <x:c r="H43" s="166" t="n">
        <x:v>7.47984825443352</x:v>
      </x:c>
      <x:c r="I43" s="173" t="n">
        <x:f>F43*H43</x:f>
        <x:v>0.4540527884261007</x:v>
      </x:c>
    </x:row>
    <x:row r="44">
      <x:c r="A44" s="146" t="n">
        <x:v>2009</x:v>
      </x:c>
      <x:c r="B44" s="146" t="str">
        <x:v>Manufactura</x:v>
      </x:c>
      <x:c r="C44" s="204" t="n">
        <x:v>213961</x:v>
      </x:c>
      <x:c r="D44" s="176" t="n">
        <x:f>C44/SUMIF($A$6:$A$185,A44,$C$6:$C$185)</x:f>
        <x:v>0.24525449218481346</x:v>
      </x:c>
      <x:c r="E44" s="176" t="n">
        <x:f>(D44+D35)/2</x:f>
        <x:v>0.25271618083908015</x:v>
      </x:c>
      <x:c r="F44" s="170" t="n">
        <x:v>0.2527166084874729</x:v>
      </x:c>
      <x:c r="G44" s="210" t="n">
        <x:f>(F44-E44)*100</x:f>
        <x:v>0.00004276483927534436</x:v>
      </x:c>
      <x:c r="H44" s="167" t="n">
        <x:v>-2.243911980422449</x:v>
      </x:c>
      <x:c r="I44" s="175" t="n">
        <x:f>F44*H44</x:f>
        <x:v>-0.5670738254367701</x:v>
      </x:c>
    </x:row>
    <x:row r="45">
      <x:c r="A45" s="164" t="n">
        <x:v>2009</x:v>
      </x:c>
      <x:c r="B45" s="164" t="str">
        <x:v>Servicios públicos</x:v>
      </x:c>
      <x:c r="C45" s="203" t="n">
        <x:v>28869</x:v>
      </x:c>
      <x:c r="D45" s="174" t="n">
        <x:f>C45/SUMIF($A$6:$A$185,A45,$C$6:$C$185)</x:f>
        <x:v>0.03309132007647833</x:v>
      </x:c>
      <x:c r="E45" s="174" t="n">
        <x:f>(D45+D36)/2</x:f>
        <x:v>0.03139727479952679</x:v>
      </x:c>
      <x:c r="F45" s="169" t="n">
        <x:v>0.031396157452274365</x:v>
      </x:c>
      <x:c r="G45" s="209" t="n">
        <x:f>(F45-E45)*100</x:f>
        <x:v>-0.00011173472524231287</x:v>
      </x:c>
      <x:c r="H45" s="166" t="n">
        <x:v>-0.1068556254839663</x:v>
      </x:c>
      <x:c r="I45" s="173" t="n">
        <x:f>F45*H45</x:f>
        <x:v>-0.003354856042355867</x:v>
      </x:c>
    </x:row>
    <x:row r="46">
      <x:c r="A46" s="146" t="n">
        <x:v>2009</x:v>
      </x:c>
      <x:c r="B46" s="146" t="str">
        <x:v>Construcción</x:v>
      </x:c>
      <x:c r="C46" s="204" t="n">
        <x:v>80467</x:v>
      </x:c>
      <x:c r="D46" s="176" t="n">
        <x:f>C46/SUMIF($A$6:$A$185,A46,$C$6:$C$185)</x:f>
        <x:v>0.09223593656150132</x:v>
      </x:c>
      <x:c r="E46" s="176" t="n">
        <x:f>(D46+D37)/2</x:f>
        <x:v>0.0906454407036007</x:v>
      </x:c>
      <x:c r="F46" s="170" t="n">
        <x:v>0.09064568732810957</x:v>
      </x:c>
      <x:c r="G46" s="210" t="n">
        <x:f>(F46-E46)*100</x:f>
        <x:v>0.00002466245088705854</x:v>
      </x:c>
      <x:c r="H46" s="167" t="n">
        <x:v>-1.273374282883108</x:v>
      </x:c>
      <x:c r="I46" s="175" t="n">
        <x:f>F46*H46</x:f>
        <x:v>-0.11542588709787796</x:v>
      </x:c>
    </x:row>
    <x:row r="47">
      <x:c r="A47" s="164" t="n">
        <x:v>2009</x:v>
      </x:c>
      <x:c r="B47" s="164" t="str">
        <x:v>Comercio y hotelería</x:v>
      </x:c>
      <x:c r="C47" s="203" t="n">
        <x:v>105703</x:v>
      </x:c>
      <x:c r="D47" s="174" t="n">
        <x:f>C47/SUMIF($A$6:$A$185,A47,$C$6:$C$185)</x:f>
        <x:v>0.1211629015914645</x:v>
      </x:c>
      <x:c r="E47" s="174" t="n">
        <x:f>(D47+D38)/2</x:f>
        <x:v>0.1217676758471735</x:v>
      </x:c>
      <x:c r="F47" s="169" t="n">
        <x:v>0.12176787927171534</x:v>
      </x:c>
      <x:c r="G47" s="209" t="n">
        <x:f>(F47-E47)*100</x:f>
        <x:v>0.000020342454183641667</x:v>
      </x:c>
      <x:c r="H47" s="166" t="n">
        <x:v>-0.8667333601195416</x:v>
      </x:c>
      <x:c r="I47" s="173" t="n">
        <x:f>F47*H47</x:f>
        <x:v>-0.10554028315580452</x:v>
      </x:c>
    </x:row>
    <x:row r="48">
      <x:c r="A48" s="146" t="n">
        <x:v>2009</x:v>
      </x:c>
      <x:c r="B48" s="146" t="str">
        <x:v>Transporte y comunicaciones</x:v>
      </x:c>
      <x:c r="C48" s="204" t="n">
        <x:v>76763</x:v>
      </x:c>
      <x:c r="D48" s="176" t="n">
        <x:f>C48/SUMIF($A$6:$A$185,A48,$C$6:$C$185)</x:f>
        <x:v>0.08799019720221365</x:v>
      </x:c>
      <x:c r="E48" s="176" t="n">
        <x:f>(D48+D39)/2</x:f>
        <x:v>0.08906048759690466</x:v>
      </x:c>
      <x:c r="F48" s="170" t="n">
        <x:v>0.0890600638041634</x:v>
      </x:c>
      <x:c r="G48" s="210" t="n">
        <x:f>(F48-E48)*100</x:f>
        <x:v>-0.00004237927412609199</x:v>
      </x:c>
      <x:c r="H48" s="167" t="n">
        <x:v>-4.614811382471736</x:v>
      </x:c>
      <x:c r="I48" s="175" t="n">
        <x:f>F48*H48</x:f>
        <x:v>-0.4109953961671123</x:v>
      </x:c>
    </x:row>
    <x:row r="49">
      <x:c r="A49" s="164" t="n">
        <x:v>2009</x:v>
      </x:c>
      <x:c r="B49" s="164" t="str">
        <x:v>Finanzas</x:v>
      </x:c>
      <x:c r="C49" s="203" t="n">
        <x:v>129132</x:v>
      </x:c>
      <x:c r="D49" s="174" t="n">
        <x:f>C49/SUMIF($A$6:$A$185,A49,$C$6:$C$185)</x:f>
        <x:v>0.14801857854847067</x:v>
      </x:c>
      <x:c r="E49" s="174" t="n">
        <x:f>(D49+D40)/2</x:f>
        <x:v>0.14345824610881053</x:v>
      </x:c>
      <x:c r="F49" s="169" t="n">
        <x:v>0.14345905425875677</x:v>
      </x:c>
      <x:c r="G49" s="209" t="n">
        <x:f>(F49-E49)*100</x:f>
        <x:v>0.00008081499462408992</x:v>
      </x:c>
      <x:c r="H49" s="166" t="n">
        <x:v>1.781420136174772</x:v>
      </x:c>
      <x:c r="I49" s="173" t="n">
        <x:f>F49*H49</x:f>
        <x:v>0.2555608479731385</x:v>
      </x:c>
    </x:row>
    <x:row r="50">
      <x:c r="A50" s="146" t="n">
        <x:v>2009</x:v>
      </x:c>
      <x:c r="B50" s="146" t="str">
        <x:v>Servicios sociales y personales</x:v>
      </x:c>
      <x:c r="C50" s="204" t="n">
        <x:v>133769</x:v>
      </x:c>
      <x:c r="D50" s="176" t="n">
        <x:f>C50/SUMIF($A$6:$A$185,A50,$C$6:$C$185)</x:f>
        <x:v>0.15333377655306488</x:v>
      </x:c>
      <x:c r="E50" s="176" t="n">
        <x:f>(D50+D41)/2</x:f>
        <x:v>0.1498110463478397</x:v>
      </x:c>
      <x:c r="F50" s="170" t="n">
        <x:v>0.14981069782470072</x:v>
      </x:c>
      <x:c r="G50" s="210" t="n">
        <x:f>(F50-E50)*100</x:f>
        <x:v>-0.00003485231389876997</x:v>
      </x:c>
      <x:c r="H50" s="167" t="n">
        <x:v>0.5441217409924994</x:v>
      </x:c>
      <x:c r="I50" s="175" t="n">
        <x:f>F50*H50</x:f>
        <x:v>0.08151525771967741</x:v>
      </x:c>
    </x:row>
    <x:row r="51">
      <x:c r="A51" s="164" t="n">
        <x:v>2010</x:v>
      </x:c>
      <x:c r="B51" s="164" t="str">
        <x:v>Agropecuario</x:v>
      </x:c>
      <x:c r="C51" s="203" t="n">
        <x:v>53636</x:v>
      </x:c>
      <x:c r="D51" s="174" t="n">
        <x:f>C51/SUMIF($A$6:$A$185,A51,$C$6:$C$185)</x:f>
        <x:v>0.05660026930398848</x:v>
      </x:c>
      <x:c r="E51" s="174" t="n">
        <x:f>(D51+D42)/2</x:f>
        <x:v>0.05827076752392055</x:v>
      </x:c>
      <x:c r="F51" s="169" t="n">
        <x:v>0.05827077248456433</x:v>
      </x:c>
      <x:c r="G51" s="209" t="n">
        <x:f>(F51-E51)*100</x:f>
        <x:v>4.96064378463501e-7</x:v>
      </x:c>
      <x:c r="H51" s="166" t="n">
        <x:v>-1.477630430449354</x:v>
      </x:c>
      <x:c r="I51" s="173" t="n">
        <x:f>F51*H51</x:f>
        <x:v>-0.08610266662898317</x:v>
      </x:c>
    </x:row>
    <x:row r="52">
      <x:c r="A52" s="146" t="n">
        <x:v>2010</x:v>
      </x:c>
      <x:c r="B52" s="146" t="str">
        <x:v>Minería</x:v>
      </x:c>
      <x:c r="C52" s="204" t="n">
        <x:v>64103</x:v>
      </x:c>
      <x:c r="D52" s="176" t="n">
        <x:f>C52/SUMIF($A$6:$A$185,A52,$C$6:$C$185)</x:f>
        <x:v>0.06764574284423845</x:v>
      </x:c>
      <x:c r="E52" s="176" t="n">
        <x:f>(D52+D43)/2</x:f>
        <x:v>0.06330863719118952</x:v>
      </x:c>
      <x:c r="F52" s="170" t="n">
        <x:v>0.06330863814037384</x:v>
      </x:c>
      <x:c r="G52" s="210" t="n">
        <x:f>(F52-E52)*100</x:f>
        <x:v>9.491843144804335e-8</x:v>
      </x:c>
      <x:c r="H52" s="167" t="n">
        <x:v>-1.436831008686941</x:v>
      </x:c>
      <x:c r="I52" s="175" t="n">
        <x:f>F52*H52</x:f>
        <x:v>-0.09096381439782988</x:v>
      </x:c>
    </x:row>
    <x:row r="53">
      <x:c r="A53" s="164" t="n">
        <x:v>2010</x:v>
      </x:c>
      <x:c r="B53" s="164" t="str">
        <x:v>Manufactura</x:v>
      </x:c>
      <x:c r="C53" s="203" t="n">
        <x:v>232608</x:v>
      </x:c>
      <x:c r="D53" s="174" t="n">
        <x:f>C53/SUMIF($A$6:$A$185,A53,$C$6:$C$185)</x:f>
        <x:v>0.24546340969241096</x:v>
      </x:c>
      <x:c r="E53" s="174" t="n">
        <x:f>(D53+D44)/2</x:f>
        <x:v>0.2453589509386122</x:v>
      </x:c>
      <x:c r="F53" s="169" t="n">
        <x:v>0.2453594943068786</x:v>
      </x:c>
      <x:c r="G53" s="209" t="n">
        <x:f>(F53-E53)*100</x:f>
        <x:v>0.000054336826638134994</x:v>
      </x:c>
      <x:c r="H53" s="166" t="n">
        <x:v>-1.13392960469398</x:v>
      </x:c>
      <x:c r="I53" s="173" t="n">
        <x:f>F53*H53</x:f>
        <x:v>-0.27822039438731366</x:v>
      </x:c>
    </x:row>
    <x:row r="54">
      <x:c r="A54" s="146" t="n">
        <x:v>2010</x:v>
      </x:c>
      <x:c r="B54" s="146" t="str">
        <x:v>Servicios públicos</x:v>
      </x:c>
      <x:c r="C54" s="204" t="n">
        <x:v>30974</x:v>
      </x:c>
      <x:c r="D54" s="176" t="n">
        <x:f>C54/SUMIF($A$6:$A$185,A54,$C$6:$C$185)</x:f>
        <x:v>0.03268582186258743</x:v>
      </x:c>
      <x:c r="E54" s="176" t="n">
        <x:f>(D54+D45)/2</x:f>
        <x:v>0.032888570969532877</x:v>
      </x:c>
      <x:c r="F54" s="170" t="n">
        <x:v>0.03288800010577879</x:v>
      </x:c>
      <x:c r="G54" s="210" t="n">
        <x:f>(F54-E54)*100</x:f>
        <x:v>-0.00005708637540874362</x:v>
      </x:c>
      <x:c r="H54" s="167" t="n">
        <x:v>-1.781737834070235</x:v>
      </x:c>
      <x:c r="I54" s="175" t="n">
        <x:f>F54*H54</x:f>
        <x:v>-0.05859779407537196</x:v>
      </x:c>
    </x:row>
    <x:row r="55">
      <x:c r="A55" s="164" t="n">
        <x:v>2010</x:v>
      </x:c>
      <x:c r="B55" s="164" t="str">
        <x:v>Construcción</x:v>
      </x:c>
      <x:c r="C55" s="203" t="n">
        <x:v>81436</x:v>
      </x:c>
      <x:c r="D55" s="174" t="n">
        <x:f>C55/SUMIF($A$6:$A$185,A55,$C$6:$C$185)</x:f>
        <x:v>0.08593667557311518</x:v>
      </x:c>
      <x:c r="E55" s="174" t="n">
        <x:f>(D55+D46)/2</x:f>
        <x:v>0.08908630606730825</x:v>
      </x:c>
      <x:c r="F55" s="169" t="n">
        <x:v>0.08908629513838523</x:v>
      </x:c>
      <x:c r="G55" s="209" t="n">
        <x:f>(F55-E55)*100</x:f>
        <x:v>-0.0000010928923016573222</x:v>
      </x:c>
      <x:c r="H55" s="166" t="n">
        <x:v>-4.045150293251145</x:v>
      </x:c>
      <x:c r="I55" s="173" t="n">
        <x:f>F55*H55</x:f>
        <x:v>-0.36036745290369704</x:v>
      </x:c>
    </x:row>
    <x:row r="56">
      <x:c r="A56" s="146" t="n">
        <x:v>2010</x:v>
      </x:c>
      <x:c r="B56" s="146" t="str">
        <x:v>Comercio y hotelería</x:v>
      </x:c>
      <x:c r="C56" s="204" t="n">
        <x:v>114426</x:v>
      </x:c>
      <x:c r="D56" s="176" t="n">
        <x:f>C56/SUMIF($A$6:$A$185,A56,$C$6:$C$185)</x:f>
        <x:v>0.12074991452342058</x:v>
      </x:c>
      <x:c r="E56" s="176" t="n">
        <x:f>(D56+D47)/2</x:f>
        <x:v>0.12095640805744254</x:v>
      </x:c>
      <x:c r="F56" s="170" t="n">
        <x:v>0.12095641600084195</x:v>
      </x:c>
      <x:c r="G56" s="210" t="n">
        <x:f>(F56-E56)*100</x:f>
        <x:v>7.943399410459406e-7</x:v>
      </x:c>
      <x:c r="H56" s="167" t="n">
        <x:v>-0.6030235193831022</x:v>
      </x:c>
      <x:c r="I56" s="175" t="n">
        <x:f>F56*H56</x:f>
        <x:v>-0.07293956366879428</x:v>
      </x:c>
    </x:row>
    <x:row r="57">
      <x:c r="A57" s="164" t="n">
        <x:v>2010</x:v>
      </x:c>
      <x:c r="B57" s="164" t="str">
        <x:v>Transporte y comunicaciones</x:v>
      </x:c>
      <x:c r="C57" s="203" t="n">
        <x:v>83400</x:v>
      </x:c>
      <x:c r="D57" s="174" t="n">
        <x:f>C57/SUMIF($A$6:$A$185,A57,$C$6:$C$185)</x:f>
        <x:v>0.08800921880738011</x:v>
      </x:c>
      <x:c r="E57" s="174" t="n">
        <x:f>(D57+D48)/2</x:f>
        <x:v>0.08799970800479688</x:v>
      </x:c>
      <x:c r="F57" s="169" t="n">
        <x:v>0.08799861290631321</x:v>
      </x:c>
      <x:c r="G57" s="209" t="n">
        <x:f>(F57-E57)*100</x:f>
        <x:v>-0.00010950984836721744</x:v>
      </x:c>
      <x:c r="H57" s="166" t="n">
        <x:v>1.395843991272702</x:v>
      </x:c>
      <x:c r="I57" s="173" t="n">
        <x:f>F57*H57</x:f>
        <x:v>0.12283233506560974</x:v>
      </x:c>
    </x:row>
    <x:row r="58">
      <x:c r="A58" s="146" t="n">
        <x:v>2010</x:v>
      </x:c>
      <x:c r="B58" s="146" t="str">
        <x:v>Finanzas</x:v>
      </x:c>
      <x:c r="C58" s="204" t="n">
        <x:v>141499</x:v>
      </x:c>
      <x:c r="D58" s="176" t="n">
        <x:f>C58/SUMIF($A$6:$A$185,A58,$C$6:$C$185)</x:f>
        <x:v>0.14931914211061725</x:v>
      </x:c>
      <x:c r="E58" s="176" t="n">
        <x:f>(D58+D49)/2</x:f>
        <x:v>0.14866886032954396</x:v>
      </x:c>
      <x:c r="F58" s="170" t="n">
        <x:v>0.14866997020260345</x:v>
      </x:c>
      <x:c r="G58" s="210" t="n">
        <x:f>(F58-E58)*100</x:f>
        <x:v>0.0001109873059484956</x:v>
      </x:c>
      <x:c r="H58" s="167" t="n">
        <x:v>-0.8755149188567843</x:v>
      </x:c>
      <x:c r="I58" s="175" t="n">
        <x:f>F58*H58</x:f>
        <x:v>-0.1301627768983729</x:v>
      </x:c>
    </x:row>
    <x:row r="59">
      <x:c r="A59" s="164" t="n">
        <x:v>2010</x:v>
      </x:c>
      <x:c r="B59" s="164" t="str">
        <x:v>Servicios sociales y personales</x:v>
      </x:c>
      <x:c r="C59" s="203" t="n">
        <x:v>145546</x:v>
      </x:c>
      <x:c r="D59" s="174" t="n">
        <x:f>C59/SUMIF($A$6:$A$185,A59,$C$6:$C$185)</x:f>
        <x:v>0.15358980528224156</x:v>
      </x:c>
      <x:c r="E59" s="174" t="n">
        <x:f>(D59+D50)/2</x:f>
        <x:v>0.15346179091765322</x:v>
      </x:c>
      <x:c r="F59" s="169" t="n">
        <x:v>0.1534618007142608</x:v>
      </x:c>
      <x:c r="G59" s="209" t="n">
        <x:f>(F59-E59)*100</x:f>
        <x:v>9.796607580714323e-7</x:v>
      </x:c>
      <x:c r="H59" s="166" t="n">
        <x:v>0.1625002093923058</x:v>
      </x:c>
      <x:c r="I59" s="173" t="n">
        <x:f>F59*H59</x:f>
        <x:v>0.024937574749787684</x:v>
      </x:c>
    </x:row>
    <x:row r="60">
      <x:c r="A60" s="146" t="n">
        <x:v>2011</x:v>
      </x:c>
      <x:c r="B60" s="146" t="str">
        <x:v>Agropecuario</x:v>
      </x:c>
      <x:c r="C60" s="204" t="n">
        <x:v>59259</x:v>
      </x:c>
      <x:c r="D60" s="176" t="n">
        <x:f>C60/SUMIF($A$6:$A$185,A60,$C$6:$C$185)</x:f>
        <x:v>0.054667831506582665</x:v>
      </x:c>
      <x:c r="E60" s="176" t="n">
        <x:f>(D60+D51)/2</x:f>
        <x:v>0.05563405040528557</x:v>
      </x:c>
      <x:c r="F60" s="170" t="n">
        <x:v>0.05563406024555309</x:v>
      </x:c>
      <x:c r="G60" s="210" t="n">
        <x:f>(F60-E60)*100</x:f>
        <x:v>9.840267517491341e-7</x:v>
      </x:c>
      <x:c r="H60" s="167" t="n">
        <x:v>1.048826208660588</x:v>
      </x:c>
      <x:c r="I60" s="175" t="n">
        <x:f>F60*H60</x:f>
        <x:v>0.058350460479738187</x:v>
      </x:c>
    </x:row>
    <x:row r="61">
      <x:c r="A61" s="164" t="n">
        <x:v>2011</x:v>
      </x:c>
      <x:c r="B61" s="164" t="str">
        <x:v>Minería</x:v>
      </x:c>
      <x:c r="C61" s="203" t="n">
        <x:v>93531</x:v>
      </x:c>
      <x:c r="D61" s="174" t="n">
        <x:f>C61/SUMIF($A$6:$A$185,A61,$C$6:$C$185)</x:f>
        <x:v>0.08628456350330217</x:v>
      </x:c>
      <x:c r="E61" s="174" t="n">
        <x:f>(D61+D52)/2</x:f>
        <x:v>0.07696515317377031</x:v>
      </x:c>
      <x:c r="F61" s="169" t="n">
        <x:v>0.07696517583345475</x:v>
      </x:c>
      <x:c r="G61" s="209" t="n">
        <x:f>(F61-E61)*100</x:f>
        <x:v>0.000002265968443437849</x:v>
      </x:c>
      <x:c r="H61" s="166" t="n">
        <x:v>0.6739551271593776</x:v>
      </x:c>
      <x:c r="I61" s="173" t="n">
        <x:f>F61*H61</x:f>
        <x:v>0.05187107486567984</x:v>
      </x:c>
    </x:row>
    <x:row r="62">
      <x:c r="A62" s="146" t="n">
        <x:v>2011</x:v>
      </x:c>
      <x:c r="B62" s="146" t="str">
        <x:v>Manufactura</x:v>
      </x:c>
      <x:c r="C62" s="204" t="n">
        <x:v>265951</x:v>
      </x:c>
      <x:c r="D62" s="176" t="n">
        <x:f>C62/SUMIF($A$6:$A$185,A62,$C$6:$C$185)</x:f>
        <x:v>0.24534609860117731</x:v>
      </x:c>
      <x:c r="E62" s="176" t="n">
        <x:f>(D62+D53)/2</x:f>
        <x:v>0.24540475414679414</x:v>
      </x:c>
      <x:c r="F62" s="170" t="n">
        <x:v>0.24540302244242762</x:v>
      </x:c>
      <x:c r="G62" s="210" t="n">
        <x:f>(F62-E62)*100</x:f>
        <x:v>-0.0001731704366514375</x:v>
      </x:c>
      <x:c r="H62" s="167" t="n">
        <x:v>-0.3094782491891603</x:v>
      </x:c>
      <x:c r="I62" s="175" t="n">
        <x:f>F62*H62</x:f>
        <x:v>-0.0759468977312107</x:v>
      </x:c>
    </x:row>
    <x:row r="63">
      <x:c r="A63" s="164" t="n">
        <x:v>2011</x:v>
      </x:c>
      <x:c r="B63" s="164" t="str">
        <x:v>Servicios públicos</x:v>
      </x:c>
      <x:c r="C63" s="203" t="n">
        <x:v>33000</x:v>
      </x:c>
      <x:c r="D63" s="174" t="n">
        <x:f>C63/SUMIF($A$6:$A$185,A63,$C$6:$C$185)</x:f>
        <x:v>0.03044328185958636</x:v>
      </x:c>
      <x:c r="E63" s="174" t="n">
        <x:f>(D63+D54)/2</x:f>
        <x:v>0.03156455186108689</x:v>
      </x:c>
      <x:c r="F63" s="169" t="n">
        <x:v>0.03156455695755184</x:v>
      </x:c>
      <x:c r="G63" s="209" t="n">
        <x:f>(F63-E63)*100</x:f>
        <x:v>5.096464944509549e-7</x:v>
      </x:c>
      <x:c r="H63" s="166" t="n">
        <x:v>-1.885836348836071</x:v>
      </x:c>
      <x:c r="I63" s="173" t="n">
        <x:f>F63*H63</x:f>
        <x:v>-0.05952558884545776</x:v>
      </x:c>
    </x:row>
    <x:row r="64">
      <x:c r="A64" s="146" t="n">
        <x:v>2011</x:v>
      </x:c>
      <x:c r="B64" s="146" t="str">
        <x:v>Construcción</x:v>
      </x:c>
      <x:c r="C64" s="204" t="n">
        <x:v>94989</x:v>
      </x:c>
      <x:c r="D64" s="176" t="n">
        <x:f>C64/SUMIF($A$6:$A$185,A64,$C$6:$C$185)</x:f>
        <x:v>0.08762960304728026</x:v>
      </x:c>
      <x:c r="E64" s="176" t="n">
        <x:f>(D64+D55)/2</x:f>
        <x:v>0.08678313931019772</x:v>
      </x:c>
      <x:c r="F64" s="170" t="n">
        <x:v>0.08678520498024767</x:v>
      </x:c>
      <x:c r="G64" s="210" t="n">
        <x:f>(F64-E64)*100</x:f>
        <x:v>0.00020656700499416258</x:v>
      </x:c>
      <x:c r="H64" s="167" t="n">
        <x:v>-1.797824699690425</x:v>
      </x:c>
      <x:c r="I64" s="175" t="n">
        <x:f>F64*H64</x:f>
        <x:v>-0.15602458508118575</x:v>
      </x:c>
    </x:row>
    <x:row r="65">
      <x:c r="A65" s="164" t="n">
        <x:v>2011</x:v>
      </x:c>
      <x:c r="B65" s="164" t="str">
        <x:v>Comercio y hotelería</x:v>
      </x:c>
      <x:c r="C65" s="203" t="n">
        <x:v>128734</x:v>
      </x:c>
      <x:c r="D65" s="174" t="n">
        <x:f>C65/SUMIF($A$6:$A$185,A65,$C$6:$C$185)</x:f>
        <x:v>0.1187601650579391</x:v>
      </x:c>
      <x:c r="E65" s="174" t="n">
        <x:f>(D65+D56)/2</x:f>
        <x:v>0.11975503979067983</x:v>
      </x:c>
      <x:c r="F65" s="169" t="n">
        <x:v>0.11975413936876406</x:v>
      </x:c>
      <x:c r="G65" s="209" t="n">
        <x:f>(F65-E65)*100</x:f>
        <x:v>-0.00009004219157782156</x:v>
      </x:c>
      <x:c r="H65" s="166" t="n">
        <x:v>1.572113705527552</x:v>
      </x:c>
      <x:c r="I65" s="173" t="n">
        <x:f>F65*H65</x:f>
        <x:v>0.18826712379529056</x:v>
      </x:c>
    </x:row>
    <x:row r="66">
      <x:c r="A66" s="146" t="n">
        <x:v>2011</x:v>
      </x:c>
      <x:c r="B66" s="146" t="str">
        <x:v>Transporte y comunicaciones</x:v>
      </x:c>
      <x:c r="C66" s="204" t="n">
        <x:v>93736</x:v>
      </x:c>
      <x:c r="D66" s="176" t="n">
        <x:f>C66/SUMIF($A$6:$A$185,A66,$C$6:$C$185)</x:f>
        <x:v>0.0864736808603087</x:v>
      </x:c>
      <x:c r="E66" s="176" t="n">
        <x:f>(D66+D57)/2</x:f>
        <x:v>0.08724144983384441</x:v>
      </x:c>
      <x:c r="F66" s="170" t="n">
        <x:v>0.08724093826630286</x:v>
      </x:c>
      <x:c r="G66" s="210" t="n">
        <x:f>(F66-E66)*100</x:f>
        <x:v>-0.00005115675415501286</x:v>
      </x:c>
      <x:c r="H66" s="167" t="n">
        <x:v>2.363843860762408</x:v>
      </x:c>
      <x:c r="I66" s="175" t="n">
        <x:f>F66*H66</x:f>
        <x:v>0.20622395632795226</x:v>
      </x:c>
    </x:row>
    <x:row r="67">
      <x:c r="A67" s="164" t="n">
        <x:v>2011</x:v>
      </x:c>
      <x:c r="B67" s="164" t="str">
        <x:v>Finanzas</x:v>
      </x:c>
      <x:c r="C67" s="203" t="n">
        <x:v>155619</x:v>
      </x:c>
      <x:c r="D67" s="174" t="n">
        <x:f>C67/SUMIF($A$6:$A$185,A67,$C$6:$C$185)</x:f>
        <x:v>0.14356221453657483</x:v>
      </x:c>
      <x:c r="E67" s="174" t="n">
        <x:f>(D67+D58)/2</x:f>
        <x:v>0.14644067832359603</x:v>
      </x:c>
      <x:c r="F67" s="169" t="n">
        <x:v>0.14644123157359556</x:v>
      </x:c>
      <x:c r="G67" s="209" t="n">
        <x:f>(F67-E67)*100</x:f>
        <x:v>0.00005532499995353213</x:v>
      </x:c>
      <x:c r="H67" s="166" t="n">
        <x:v>-0.6831860217051045</x:v>
      </x:c>
      <x:c r="I67" s="173" t="n">
        <x:f>F67*H67</x:f>
        <x:v>-0.10004660241236069</x:v>
      </x:c>
    </x:row>
    <x:row r="68">
      <x:c r="A68" s="146" t="n">
        <x:v>2011</x:v>
      </x:c>
      <x:c r="B68" s="146" t="str">
        <x:v>Servicios sociales y personales</x:v>
      </x:c>
      <x:c r="C68" s="204" t="n">
        <x:v>159164</x:v>
      </x:c>
      <x:c r="D68" s="176" t="n">
        <x:f>C68/SUMIF($A$6:$A$185,A68,$C$6:$C$185)</x:f>
        <x:v>0.1468325610272486</x:v>
      </x:c>
      <x:c r="E68" s="176" t="n">
        <x:f>(D68+D59)/2</x:f>
        <x:v>0.15021118315474508</x:v>
      </x:c>
      <x:c r="F68" s="170" t="n">
        <x:v>0.1502116703321025</x:v>
      </x:c>
      <x:c r="G68" s="210" t="n">
        <x:f>(F68-E68)*100</x:f>
        <x:v>0.000048717735742775936</x:v>
      </x:c>
      <x:c r="H68" s="167" t="n">
        <x:v>1.07900877130184</x:v>
      </x:c>
      <x:c r="I68" s="175" t="n">
        <x:f>F68*H68</x:f>
        <x:v>0.16207970984023895</x:v>
      </x:c>
    </x:row>
    <x:row r="69">
      <x:c r="A69" s="164" t="n">
        <x:v>2012</x:v>
      </x:c>
      <x:c r="B69" s="164" t="str">
        <x:v>Agropecuario</x:v>
      </x:c>
      <x:c r="C69" s="203" t="n">
        <x:v>60002</x:v>
      </x:c>
      <x:c r="D69" s="174" t="n">
        <x:f>C69/SUMIF($A$6:$A$185,A69,$C$6:$C$185)</x:f>
        <x:v>0.05165803862687179</x:v>
      </x:c>
      <x:c r="E69" s="174" t="n">
        <x:f>(D69+D60)/2</x:f>
        <x:v>0.05316293506672723</x:v>
      </x:c>
      <x:c r="F69" s="169" t="n">
        <x:v>0.05316293396695371</x:v>
      </x:c>
      <x:c r="G69" s="209" t="n">
        <x:f>(F69-E69)*100</x:f>
        <x:v>-1.0997735222506577e-7</x:v>
      </x:c>
      <x:c r="H69" s="166" t="n">
        <x:v>1.952064286352201</x:v>
      </x:c>
      <x:c r="I69" s="173" t="n">
        <x:f>F69*H69</x:f>
        <x:v>0.10377746475459068</x:v>
      </x:c>
    </x:row>
    <x:row r="70">
      <x:c r="A70" s="146" t="n">
        <x:v>2012</x:v>
      </x:c>
      <x:c r="B70" s="146" t="str">
        <x:v>Minería</x:v>
      </x:c>
      <x:c r="C70" s="204" t="n">
        <x:v>99552</x:v>
      </x:c>
      <x:c r="D70" s="176" t="n">
        <x:f>C70/SUMIF($A$6:$A$185,A70,$C$6:$C$185)</x:f>
        <x:v>0.08570816075101396</x:v>
      </x:c>
      <x:c r="E70" s="176" t="n">
        <x:f>(D70+D61)/2</x:f>
        <x:v>0.08599636212715807</x:v>
      </x:c>
      <x:c r="F70" s="170" t="n">
        <x:v>0.0859967884730373</x:v>
      </x:c>
      <x:c r="G70" s="210" t="n">
        <x:f>(F70-E70)*100</x:f>
        <x:v>0.00004263458792258534</x:v>
      </x:c>
      <x:c r="H70" s="167" t="n">
        <x:v>-0.447550476814877</x:v>
      </x:c>
      <x:c r="I70" s="175" t="n">
        <x:f>F70*H70</x:f>
        <x:v>-0.03848790368565596</x:v>
      </x:c>
    </x:row>
    <x:row r="71">
      <x:c r="A71" s="164" t="n">
        <x:v>2012</x:v>
      </x:c>
      <x:c r="B71" s="164" t="str">
        <x:v>Manufactura</x:v>
      </x:c>
      <x:c r="C71" s="203" t="n">
        <x:v>275433</x:v>
      </x:c>
      <x:c r="D71" s="174" t="n">
        <x:f>C71/SUMIF($A$6:$A$185,A71,$C$6:$C$185)</x:f>
        <x:v>0.2371309048550911</x:v>
      </x:c>
      <x:c r="E71" s="174" t="n">
        <x:f>(D71+D62)/2</x:f>
        <x:v>0.2412385017281342</x:v>
      </x:c>
      <x:c r="F71" s="169" t="n">
        <x:v>0.2412366179228126</x:v>
      </x:c>
      <x:c r="G71" s="209" t="n">
        <x:f>(F71-E71)*100</x:f>
        <x:v>-0.00018838053216230222</x:v>
      </x:c>
      <x:c r="H71" s="166" t="n">
        <x:v>-0.8681517368122245</x:v>
      </x:c>
      <x:c r="I71" s="173" t="n">
        <x:f>F71*H71</x:f>
        <x:v>-0.20942998883239675</x:v>
      </x:c>
    </x:row>
    <x:row r="72">
      <x:c r="A72" s="146" t="n">
        <x:v>2012</x:v>
      </x:c>
      <x:c r="B72" s="146" t="str">
        <x:v>Servicios públicos</x:v>
      </x:c>
      <x:c r="C72" s="204" t="n">
        <x:v>36134</x:v>
      </x:c>
      <x:c r="D72" s="176" t="n">
        <x:f>C72/SUMIF($A$6:$A$185,A72,$C$6:$C$185)</x:f>
        <x:v>0.03110915582386229</x:v>
      </x:c>
      <x:c r="E72" s="176" t="n">
        <x:f>(D72+D63)/2</x:f>
        <x:v>0.030776218841724323</x:v>
      </x:c>
      <x:c r="F72" s="170" t="n">
        <x:v>0.030776216889945373</x:v>
      </x:c>
      <x:c r="G72" s="210" t="n">
        <x:f>(F72-E72)*100</x:f>
        <x:v>-1.951778950265437e-7</x:v>
      </x:c>
      <x:c r="H72" s="167" t="n">
        <x:v>-0.6530209466856807</x:v>
      </x:c>
      <x:c r="I72" s="175" t="n">
        <x:f>F72*H72</x:f>
        <x:v>-0.02009751428887596</x:v>
      </x:c>
    </x:row>
    <x:row r="73">
      <x:c r="A73" s="164" t="n">
        <x:v>2012</x:v>
      </x:c>
      <x:c r="B73" s="164" t="str">
        <x:v>Construcción</x:v>
      </x:c>
      <x:c r="C73" s="203" t="n">
        <x:v>105917</x:v>
      </x:c>
      <x:c r="D73" s="174" t="n">
        <x:f>C73/SUMIF($A$6:$A$185,A73,$C$6:$C$185)</x:f>
        <x:v>0.091188035019539</x:v>
      </x:c>
      <x:c r="E73" s="174" t="n">
        <x:f>(D73+D64)/2</x:f>
        <x:v>0.08940881903340964</x:v>
      </x:c>
      <x:c r="F73" s="169" t="n">
        <x:v>0.0894112011848569</x:v>
      </x:c>
      <x:c r="G73" s="209" t="n">
        <x:f>(F73-E73)*100</x:f>
        <x:v>0.00023821514472666117</x:v>
      </x:c>
      <x:c r="H73" s="166" t="n">
        <x:v>-1.587085875840158</x:v>
      </x:c>
      <x:c r="I73" s="173" t="n">
        <x:f>F73*H73</x:f>
        <x:v>-0.1419032545423892</x:v>
      </x:c>
    </x:row>
    <x:row r="74">
      <x:c r="A74" s="146" t="n">
        <x:v>2012</x:v>
      </x:c>
      <x:c r="B74" s="146" t="str">
        <x:v>Comercio y hotelería</x:v>
      </x:c>
      <x:c r="C74" s="204" t="n">
        <x:v>137509</x:v>
      </x:c>
      <x:c r="D74" s="176" t="n">
        <x:f>C74/SUMIF($A$6:$A$185,A74,$C$6:$C$185)</x:f>
        <x:v>0.11838680766545304</x:v>
      </x:c>
      <x:c r="E74" s="176" t="n">
        <x:f>(D74+D65)/2</x:f>
        <x:v>0.11857348636169607</x:v>
      </x:c>
      <x:c r="F74" s="170" t="n">
        <x:v>0.11857298839094521</x:v>
      </x:c>
      <x:c r="G74" s="210" t="n">
        <x:f>(F74-E74)*100</x:f>
        <x:v>-0.00004979707508567799</x:v>
      </x:c>
      <x:c r="H74" s="167" t="n">
        <x:v>0.5944412202015918</x:v>
      </x:c>
      <x:c r="I74" s="175" t="n">
        <x:f>F74*H74</x:f>
        <x:v>0.07048467190206266</x:v>
      </x:c>
    </x:row>
    <x:row r="75">
      <x:c r="A75" s="164" t="n">
        <x:v>2012</x:v>
      </x:c>
      <x:c r="B75" s="164" t="str">
        <x:v>Transporte y comunicaciones</x:v>
      </x:c>
      <x:c r="C75" s="203" t="n">
        <x:v>100590</x:v>
      </x:c>
      <x:c r="D75" s="174" t="n">
        <x:f>C75/SUMIF($A$6:$A$185,A75,$C$6:$C$185)</x:f>
        <x:v>0.08660181503078286</x:v>
      </x:c>
      <x:c r="E75" s="174" t="n">
        <x:f>(D75+D66)/2</x:f>
        <x:v>0.08653774794554578</x:v>
      </x:c>
      <x:c r="F75" s="169" t="n">
        <x:v>0.08653774340994258</x:v>
      </x:c>
      <x:c r="G75" s="209" t="n">
        <x:f>(F75-E75)*100</x:f>
        <x:v>-4.5356031985743783e-7</x:v>
      </x:c>
      <x:c r="H75" s="166" t="n">
        <x:v>0.001877170370519821</x:v>
      </x:c>
      <x:c r="I75" s="173" t="n">
        <x:f>F75*H75</x:f>
        <x:v>0.0001624460878607911</x:v>
      </x:c>
    </x:row>
    <x:row r="76">
      <x:c r="A76" s="146" t="n">
        <x:v>2012</x:v>
      </x:c>
      <x:c r="B76" s="146" t="str">
        <x:v>Finanzas</x:v>
      </x:c>
      <x:c r="C76" s="204" t="n">
        <x:v>171533</x:v>
      </x:c>
      <x:c r="D76" s="176" t="n">
        <x:f>C76/SUMIF($A$6:$A$185,A76,$C$6:$C$185)</x:f>
        <x:v>0.14767938301695274</x:v>
      </x:c>
      <x:c r="E76" s="176" t="n">
        <x:f>(D76+D67)/2</x:f>
        <x:v>0.1456207987767638</x:v>
      </x:c>
      <x:c r="F76" s="170" t="n">
        <x:v>0.14562078901393088</x:v>
      </x:c>
      <x:c r="G76" s="210" t="n">
        <x:f>(F76-E76)*100</x:f>
        <x:v>-9.762832903215113e-7</x:v>
      </x:c>
      <x:c r="H76" s="167" t="n">
        <x:v>-0.8943863385913149</x:v>
      </x:c>
      <x:c r="I76" s="175" t="n">
        <x:f>F76*H76</x:f>
        <x:v>-0.130241244308948</x:v>
      </x:c>
    </x:row>
    <x:row r="77">
      <x:c r="A77" s="164" t="n">
        <x:v>2012</x:v>
      </x:c>
      <x:c r="B77" s="164" t="str">
        <x:v>Servicios sociales y personales</x:v>
      </x:c>
      <x:c r="C77" s="203" t="n">
        <x:v>174853</x:v>
      </x:c>
      <x:c r="D77" s="174" t="n">
        <x:f>C77/SUMIF($A$6:$A$185,A77,$C$6:$C$185)</x:f>
        <x:v>0.1505376992104332</x:v>
      </x:c>
      <x:c r="E77" s="174" t="n">
        <x:f>(D77+D68)/2</x:f>
        <x:v>0.14868513011884088</x:v>
      </x:c>
      <x:c r="F77" s="169" t="n">
        <x:v>0.14868472074757538</x:v>
      </x:c>
      <x:c r="G77" s="209" t="n">
        <x:f>(F77-E77)*100</x:f>
        <x:v>-0.000040937126549733804</x:v>
      </x:c>
      <x:c r="H77" s="166" t="n">
        <x:v>1.397321476764957</x:v>
      </x:c>
      <x:c r="I77" s="173" t="n">
        <x:f>F77*H77</x:f>
        <x:v>0.20776035356738728</x:v>
      </x:c>
    </x:row>
    <x:row r="78">
      <x:c r="A78" s="146" t="n">
        <x:v>2013</x:v>
      </x:c>
      <x:c r="B78" s="146" t="str">
        <x:v>Agropecuario</x:v>
      </x:c>
      <x:c r="C78" s="204" t="n">
        <x:v>62583</x:v>
      </x:c>
      <x:c r="D78" s="176" t="n">
        <x:f>C78/SUMIF($A$6:$A$185,A78,$C$6:$C$185)</x:f>
        <x:v>0.050134904333280994</x:v>
      </x:c>
      <x:c r="E78" s="176" t="n">
        <x:f>(D78+D69)/2</x:f>
        <x:v>0.050896471480076394</x:v>
      </x:c>
      <x:c r="F78" s="170" t="n">
        <x:v>0.050896418244455344</x:v>
      </x:c>
      <x:c r="G78" s="210" t="n">
        <x:f>(F78-E78)*100</x:f>
        <x:v>-0.00000532356210503071</x:v>
      </x:c>
      <x:c r="H78" s="167" t="n">
        <x:v>4.197681309931134</x:v>
      </x:c>
      <x:c r="I78" s="175" t="n">
        <x:f>F78*H78</x:f>
        <x:v>0.2136469436071882</x:v>
      </x:c>
    </x:row>
    <x:row r="79">
      <x:c r="A79" s="164" t="n">
        <x:v>2013</x:v>
      </x:c>
      <x:c r="B79" s="164" t="str">
        <x:v>Minería</x:v>
      </x:c>
      <x:c r="C79" s="203" t="n">
        <x:v>104411</x:v>
      </x:c>
      <x:c r="D79" s="174" t="n">
        <x:f>C79/SUMIF($A$6:$A$185,A79,$C$6:$C$185)</x:f>
        <x:v>0.08364308991806405</x:v>
      </x:c>
      <x:c r="E79" s="174" t="n">
        <x:f>(D79+D70)/2</x:f>
        <x:v>0.08467562533453901</x:v>
      </x:c>
      <x:c r="F79" s="169" t="n">
        <x:v>0.08467596725939952</x:v>
      </x:c>
      <x:c r="G79" s="209" t="n">
        <x:f>(F79-E79)*100</x:f>
        <x:v>0.000034192486050854676</x:v>
      </x:c>
      <x:c r="H79" s="166" t="n">
        <x:v>-2.015863651162977</x:v>
      </x:c>
      <x:c r="I79" s="173" t="n">
        <x:f>F79*H79</x:f>
        <x:v>-0.1706952045252898</x:v>
      </x:c>
    </x:row>
    <x:row r="80">
      <x:c r="A80" s="146" t="n">
        <x:v>2013</x:v>
      </x:c>
      <x:c r="B80" s="146" t="str">
        <x:v>Manufactura</x:v>
      </x:c>
      <x:c r="C80" s="204" t="n">
        <x:v>282065</x:v>
      </x:c>
      <x:c r="D80" s="176" t="n">
        <x:f>C80/SUMIF($A$6:$A$185,A80,$C$6:$C$185)</x:f>
        <x:v>0.22596075277258845</x:v>
      </x:c>
      <x:c r="E80" s="176" t="n">
        <x:f>(D80+D71)/2</x:f>
        <x:v>0.23154582881383978</x:v>
      </x:c>
      <x:c r="F80" s="170" t="n">
        <x:v>0.23154601688464616</x:v>
      </x:c>
      <x:c r="G80" s="210" t="n">
        <x:f>(F80-E80)*100</x:f>
        <x:v>0.0000188070806372842</x:v>
      </x:c>
      <x:c r="H80" s="167" t="n">
        <x:v>-0.3658403928904055</x:v>
      </x:c>
      <x:c r="I80" s="175" t="n">
        <x:f>F80*H80</x:f>
        <x:v>-0.08470888578928741</x:v>
      </x:c>
    </x:row>
    <x:row r="81">
      <x:c r="A81" s="164" t="n">
        <x:v>2013</x:v>
      </x:c>
      <x:c r="B81" s="164" t="str">
        <x:v>Servicios públicos</x:v>
      </x:c>
      <x:c r="C81" s="203" t="n">
        <x:v>38956</x:v>
      </x:c>
      <x:c r="D81" s="174" t="n">
        <x:f>C81/SUMIF($A$6:$A$185,A81,$C$6:$C$185)</x:f>
        <x:v>0.031207441848541847</x:v>
      </x:c>
      <x:c r="E81" s="174" t="n">
        <x:f>(D81+D72)/2</x:f>
        <x:v>0.031158298836202067</x:v>
      </x:c>
      <x:c r="F81" s="169" t="n">
        <x:v>0.031158266297074244</x:v>
      </x:c>
      <x:c r="G81" s="209" t="n">
        <x:f>(F81-E81)*100</x:f>
        <x:v>-0.000003253912782275048</x:v>
      </x:c>
      <x:c r="H81" s="166" t="n">
        <x:v>-0.2332157642015922</x:v>
      </x:c>
      <x:c r="I81" s="173" t="n">
        <x:f>F81*H81</x:f>
        <x:v>-0.007266598885668885</x:v>
      </x:c>
    </x:row>
    <x:row r="82">
      <x:c r="A82" s="146" t="n">
        <x:v>2013</x:v>
      </x:c>
      <x:c r="B82" s="146" t="str">
        <x:v>Construcción</x:v>
      </x:c>
      <x:c r="C82" s="204" t="n">
        <x:v>121421</x:v>
      </x:c>
      <x:c r="D82" s="176" t="n">
        <x:f>C82/SUMIF($A$6:$A$185,A82,$C$6:$C$185)</x:f>
        <x:v>0.09726970933082965</x:v>
      </x:c>
      <x:c r="E82" s="176" t="n">
        <x:f>(D82+D73)/2</x:f>
        <x:v>0.09422887217518433</x:v>
      </x:c>
      <x:c r="F82" s="170" t="n">
        <x:v>0.09422858696811028</x:v>
      </x:c>
      <x:c r="G82" s="210" t="n">
        <x:f>(F82-E82)*100</x:f>
        <x:v>-0.00002852070740549939</x:v>
      </x:c>
      <x:c r="H82" s="167" t="n">
        <x:v>2.74464359668742</x:v>
      </x:c>
      <x:c r="I82" s="175" t="n">
        <x:f>F82*H82</x:f>
        <x:v>0.2586238878469275</x:v>
      </x:c>
    </x:row>
    <x:row r="83">
      <x:c r="A83" s="164" t="n">
        <x:v>2013</x:v>
      </x:c>
      <x:c r="B83" s="164" t="str">
        <x:v>Comercio y hotelería</x:v>
      </x:c>
      <x:c r="C83" s="203" t="n">
        <x:v>147365</x:v>
      </x:c>
      <x:c r="D83" s="174" t="n">
        <x:f>C83/SUMIF($A$6:$A$185,A83,$C$6:$C$185)</x:f>
        <x:v>0.118053308040106</x:v>
      </x:c>
      <x:c r="E83" s="174" t="n">
        <x:f>(D83+D74)/2</x:f>
        <x:v>0.11822005785277952</x:v>
      </x:c>
      <x:c r="F83" s="169" t="n">
        <x:v>0.11822076537427861</x:v>
      </x:c>
      <x:c r="G83" s="209" t="n">
        <x:f>(F83-E83)*100</x:f>
        <x:v>0.00007075214990964751</x:v>
      </x:c>
      <x:c r="H83" s="166" t="n">
        <x:v>1.432043931337711</x:v>
      </x:c>
      <x:c r="I83" s="173" t="n">
        <x:f>F83*H83</x:f>
        <x:v>0.16929732961233507</x:v>
      </x:c>
    </x:row>
    <x:row r="84">
      <x:c r="A84" s="146" t="n">
        <x:v>2013</x:v>
      </x:c>
      <x:c r="B84" s="146" t="str">
        <x:v>Transporte y comunicaciones</x:v>
      </x:c>
      <x:c r="C84" s="204" t="n">
        <x:v>109560</x:v>
      </x:c>
      <x:c r="D84" s="176" t="n">
        <x:f>C84/SUMIF($A$6:$A$185,A84,$C$6:$C$185)</x:f>
        <x:v>0.08776792609421513</x:v>
      </x:c>
      <x:c r="E84" s="176" t="n">
        <x:f>(D84+D75)/2</x:f>
        <x:v>0.08718487056249899</x:v>
      </x:c>
      <x:c r="F84" s="170" t="n">
        <x:v>0.08718477955814063</x:v>
      </x:c>
      <x:c r="G84" s="210" t="n">
        <x:f>(F84-E84)*100</x:f>
        <x:v>-0.000009100435835462939</x:v>
      </x:c>
      <x:c r="H84" s="167" t="n">
        <x:v>3.086188211600319</x:v>
      </x:c>
      <x:c r="I84" s="175" t="n">
        <x:f>F84*H84</x:f>
        <x:v>0.26906863890330607</x:v>
      </x:c>
    </x:row>
    <x:row r="85">
      <x:c r="A85" s="164" t="n">
        <x:v>2013</x:v>
      </x:c>
      <x:c r="B85" s="164" t="str">
        <x:v>Finanzas</x:v>
      </x:c>
      <x:c r="C85" s="203" t="n">
        <x:v>187951</x:v>
      </x:c>
      <x:c r="D85" s="174" t="n">
        <x:f>C85/SUMIF($A$6:$A$185,A85,$C$6:$C$185)</x:f>
        <x:v>0.15056653411221094</x:v>
      </x:c>
      <x:c r="E85" s="174" t="n">
        <x:f>(D85+D76)/2</x:f>
        <x:v>0.14912295856458185</x:v>
      </x:c>
      <x:c r="F85" s="169" t="n">
        <x:v>0.14912280295300606</x:v>
      </x:c>
      <x:c r="G85" s="209" t="n">
        <x:f>(F85-E85)*100</x:f>
        <x:v>-0.000015561157579169205</x:v>
      </x:c>
      <x:c r="H85" s="166" t="n">
        <x:v>-1.923851305058301</x:v>
      </x:c>
      <x:c r="I85" s="173" t="n">
        <x:f>F85*H85</x:f>
        <x:v>-0.28689009907509255</x:v>
      </x:c>
    </x:row>
    <x:row r="86">
      <x:c r="A86" s="146" t="n">
        <x:v>2013</x:v>
      </x:c>
      <x:c r="B86" s="146" t="str">
        <x:v>Servicios sociales y personales</x:v>
      </x:c>
      <x:c r="C86" s="204" t="n">
        <x:v>193980</x:v>
      </x:c>
      <x:c r="D86" s="176" t="n">
        <x:f>C86/SUMIF($A$6:$A$185,A86,$C$6:$C$185)</x:f>
        <x:v>0.15539633355016294</x:v>
      </x:c>
      <x:c r="E86" s="176" t="n">
        <x:f>(D86+D77)/2</x:f>
        <x:v>0.15296701638029808</x:v>
      </x:c>
      <x:c r="F86" s="170" t="n">
        <x:v>0.15296639646088897</x:v>
      </x:c>
      <x:c r="G86" s="210" t="n">
        <x:f>(F86-E86)*100</x:f>
        <x:v>-0.00006199194091116578</x:v>
      </x:c>
      <x:c r="H86" s="167" t="n">
        <x:v>-0.3560353916220773</x:v>
      </x:c>
      <x:c r="I86" s="175" t="n">
        <x:f>F86*H86</x:f>
        <x:v>-0.05446145086897054</x:v>
      </x:c>
    </x:row>
    <x:row r="87">
      <x:c r="A87" s="164" t="n">
        <x:v>2014</x:v>
      </x:c>
      <x:c r="B87" s="164" t="str">
        <x:v>Agropecuario</x:v>
      </x:c>
      <x:c r="C87" s="203" t="n">
        <x:v>67451</x:v>
      </x:c>
      <x:c r="D87" s="174" t="n">
        <x:f>C87/SUMIF($A$6:$A$185,A87,$C$6:$C$185)</x:f>
        <x:v>0.05027713508807499</x:v>
      </x:c>
      <x:c r="E87" s="174" t="n">
        <x:f>(D87+D78)/2</x:f>
        <x:v>0.05020601971067799</x:v>
      </x:c>
      <x:c r="F87" s="169" t="n">
        <x:v>0.05020599601762843</x:v>
      </x:c>
      <x:c r="G87" s="209" t="n">
        <x:f>(F87-E87)*100</x:f>
        <x:v>-0.000002369304956395535</x:v>
      </x:c>
      <x:c r="H87" s="166" t="n">
        <x:v>1.787500963451692</x:v>
      </x:c>
      <x:c r="I87" s="173" t="n">
        <x:f>F87*H87</x:f>
        <x:v>0.08974326625256263</x:v>
      </x:c>
    </x:row>
    <x:row r="88">
      <x:c r="A88" s="146" t="n">
        <x:v>2014</x:v>
      </x:c>
      <x:c r="B88" s="146" t="str">
        <x:v>Minería</x:v>
      </x:c>
      <x:c r="C88" s="204" t="n">
        <x:v>97802</x:v>
      </x:c>
      <x:c r="D88" s="176" t="n">
        <x:f>C88/SUMIF($A$6:$A$185,A88,$C$6:$C$185)</x:f>
        <x:v>0.07290039237200205</x:v>
      </x:c>
      <x:c r="E88" s="176" t="n">
        <x:f>(D88+D79)/2</x:f>
        <x:v>0.07827174114503305</x:v>
      </x:c>
      <x:c r="F88" s="170" t="n">
        <x:v>0.07827170161648267</x:v>
      </x:c>
      <x:c r="G88" s="210" t="n">
        <x:f>(F88-E88)*100</x:f>
        <x:v>-0.000003952855037736569</x:v>
      </x:c>
      <x:c r="H88" s="167" t="n">
        <x:v>-7.472051244634315</x:v>
      </x:c>
      <x:c r="I88" s="175" t="n">
        <x:f>F88*H88</x:f>
        <x:v>-0.5848501654830851</x:v>
      </x:c>
    </x:row>
    <x:row r="89">
      <x:c r="A89" s="164" t="n">
        <x:v>2014</x:v>
      </x:c>
      <x:c r="B89" s="164" t="str">
        <x:v>Manufactura</x:v>
      </x:c>
      <x:c r="C89" s="203" t="n">
        <x:v>296289</x:v>
      </x:c>
      <x:c r="D89" s="174" t="n">
        <x:f>C89/SUMIF($A$6:$A$185,A89,$C$6:$C$185)</x:f>
        <x:v>0.22085012939927728</x:v>
      </x:c>
      <x:c r="E89" s="174" t="n">
        <x:f>(D89+D80)/2</x:f>
        <x:v>0.22340544108593285</x:v>
      </x:c>
      <x:c r="F89" s="169" t="n">
        <x:v>0.2234053343000547</x:v>
      </x:c>
      <x:c r="G89" s="209" t="n">
        <x:f>(F89-E89)*100</x:f>
        <x:v>-0.000010678587816781437</x:v>
      </x:c>
      <x:c r="H89" s="166" t="n">
        <x:v>-0.8482892953277448</x:v>
      </x:c>
      <x:c r="I89" s="173" t="n">
        <x:f>F89*H89</x:f>
        <x:v>-0.18951235360585264</x:v>
      </x:c>
    </x:row>
    <x:row r="90">
      <x:c r="A90" s="146" t="n">
        <x:v>2014</x:v>
      </x:c>
      <x:c r="B90" s="146" t="str">
        <x:v>Servicios públicos</x:v>
      </x:c>
      <x:c r="C90" s="204" t="n">
        <x:v>42519</x:v>
      </x:c>
      <x:c r="D90" s="176" t="n">
        <x:f>C90/SUMIF($A$6:$A$185,A90,$C$6:$C$185)</x:f>
        <x:v>0.031693132893654066</x:v>
      </x:c>
      <x:c r="E90" s="176" t="n">
        <x:f>(D90+D81)/2</x:f>
        <x:v>0.03145028737109796</x:v>
      </x:c>
      <x:c r="F90" s="170" t="n">
        <x:v>0.03145027262289922</x:v>
      </x:c>
      <x:c r="G90" s="210" t="n">
        <x:f>(F90-E90)*100</x:f>
        <x:v>-0.0000014748198738645524</x:v>
      </x:c>
      <x:c r="H90" s="167" t="n">
        <x:v>-1.24565312425305</x:v>
      </x:c>
      <x:c r="I90" s="175" t="n">
        <x:f>F90*H90</x:f>
        <x:v>-0.03917613035132458</x:v>
      </x:c>
    </x:row>
    <x:row r="91">
      <x:c r="A91" s="164" t="n">
        <x:v>2014</x:v>
      </x:c>
      <x:c r="B91" s="164" t="str">
        <x:v>Construcción</x:v>
      </x:c>
      <x:c r="C91" s="203" t="n">
        <x:v>140123</x:v>
      </x:c>
      <x:c r="D91" s="174" t="n">
        <x:f>C91/SUMIF($A$6:$A$185,A91,$C$6:$C$185)</x:f>
        <x:v>0.10444593853236174</x:v>
      </x:c>
      <x:c r="E91" s="174" t="n">
        <x:f>(D91+D82)/2</x:f>
        <x:v>0.1008578239315957</x:v>
      </x:c>
      <x:c r="F91" s="169" t="n">
        <x:v>0.10085744945539732</x:v>
      </x:c>
      <x:c r="G91" s="209" t="n">
        <x:f>(F91-E91)*100</x:f>
        <x:v>-0.00003744761983837108</x:v>
      </x:c>
      <x:c r="H91" s="166" t="n">
        <x:v>0.0008095250582940139</x:v>
      </x:c>
      <x:c r="I91" s="173" t="n">
        <x:f>F91*H91</x:f>
        <x:v>0.00008164663264976607</x:v>
      </x:c>
    </x:row>
    <x:row r="92">
      <x:c r="A92" s="146" t="n">
        <x:v>2014</x:v>
      </x:c>
      <x:c r="B92" s="146" t="str">
        <x:v>Comercio y hotelería</x:v>
      </x:c>
      <x:c r="C92" s="204" t="n">
        <x:v>159152</x:v>
      </x:c>
      <x:c r="D92" s="176" t="n">
        <x:f>C92/SUMIF($A$6:$A$185,A92,$C$6:$C$185)</x:f>
        <x:v>0.11862991806700139</x:v>
      </x:c>
      <x:c r="E92" s="176" t="n">
        <x:f>(D92+D83)/2</x:f>
        <x:v>0.1183416130535537</x:v>
      </x:c>
      <x:c r="F92" s="170" t="n">
        <x:v>0.11834195781014367</x:v>
      </x:c>
      <x:c r="G92" s="210" t="n">
        <x:f>(F92-E92)*100</x:f>
        <x:v>0.0000344756589970574</x:v>
      </x:c>
      <x:c r="H92" s="167" t="n">
        <x:v>1.952494208810829</x:v>
      </x:c>
      <x:c r="I92" s="175" t="n">
        <x:f>F92*H92</x:f>
        <x:v>0.23106198728364097</x:v>
      </x:c>
    </x:row>
    <x:row r="93">
      <x:c r="A93" s="164" t="n">
        <x:v>2014</x:v>
      </x:c>
      <x:c r="B93" s="164" t="str">
        <x:v>Transporte y comunicaciones</x:v>
      </x:c>
      <x:c r="C93" s="203" t="n">
        <x:v>119924</x:v>
      </x:c>
      <x:c r="D93" s="174" t="n">
        <x:f>C93/SUMIF($A$6:$A$185,A93,$C$6:$C$185)</x:f>
        <x:v>0.08938985557370989</x:v>
      </x:c>
      <x:c r="E93" s="174" t="n">
        <x:f>(D93+D84)/2</x:f>
        <x:v>0.0885788908339625</x:v>
      </x:c>
      <x:c r="F93" s="169" t="n">
        <x:v>0.08857884935607388</x:v>
      </x:c>
      <x:c r="G93" s="209" t="n">
        <x:f>(F93-E93)*100</x:f>
        <x:v>-0.000004147788862374213</x:v>
      </x:c>
      <x:c r="H93" s="166" t="n">
        <x:v>-0.2565072206131145</x:v>
      </x:c>
      <x:c r="I93" s="173" t="n">
        <x:f>F93*H93</x:f>
        <x:v>-0.022721114453434277</x:v>
      </x:c>
    </x:row>
    <x:row r="94">
      <x:c r="A94" s="146" t="n">
        <x:v>2014</x:v>
      </x:c>
      <x:c r="B94" s="146" t="str">
        <x:v>Finanzas</x:v>
      </x:c>
      <x:c r="C94" s="204" t="n">
        <x:v>207533</x:v>
      </x:c>
      <x:c r="D94" s="176" t="n">
        <x:f>C94/SUMIF($A$6:$A$185,A94,$C$6:$C$185)</x:f>
        <x:v>0.15469251273121923</x:v>
      </x:c>
      <x:c r="E94" s="176" t="n">
        <x:f>(D94+D85)/2</x:f>
        <x:v>0.1526295234217151</x:v>
      </x:c>
      <x:c r="F94" s="170" t="n">
        <x:v>0.15262945226608474</x:v>
      </x:c>
      <x:c r="G94" s="210" t="n">
        <x:f>(F94-E94)*100</x:f>
        <x:v>-0.0000071155630360086874</x:v>
      </x:c>
      <x:c r="H94" s="167" t="n">
        <x:v>0.5090571564940483</x:v>
      </x:c>
      <x:c r="I94" s="175" t="n">
        <x:f>F94*H94</x:f>
        <x:v>0.07769711496781717</x:v>
      </x:c>
    </x:row>
    <x:row r="95">
      <x:c r="A95" s="164" t="n">
        <x:v>2014</x:v>
      </x:c>
      <x:c r="B95" s="164" t="str">
        <x:v>Servicios sociales y personales</x:v>
      </x:c>
      <x:c r="C95" s="203" t="n">
        <x:v>210791</x:v>
      </x:c>
      <x:c r="D95" s="174" t="n">
        <x:f>C95/SUMIF($A$6:$A$185,A95,$C$6:$C$185)</x:f>
        <x:v>0.1571209853426994</x:v>
      </x:c>
      <x:c r="E95" s="174" t="n">
        <x:f>(D95+D86)/2</x:f>
        <x:v>0.15625865944643116</x:v>
      </x:c>
      <x:c r="F95" s="169" t="n">
        <x:v>0.15625898655523565</x:v>
      </x:c>
      <x:c r="G95" s="209" t="n">
        <x:f>(F95-E95)*100</x:f>
        <x:v>0.000032710880448760804</x:v>
      </x:c>
      <x:c r="H95" s="166" t="n">
        <x:v>-1.682766849357254</x:v>
      </x:c>
      <x:c r="I95" s="173" t="n">
        <x:f>F95*H95</x:f>
        <x:v>-0.2629474424893114</x:v>
      </x:c>
    </x:row>
    <x:row r="96">
      <x:c r="A96" s="146" t="n">
        <x:v>2015</x:v>
      </x:c>
      <x:c r="B96" s="146" t="str">
        <x:v>Agropecuario</x:v>
      </x:c>
      <x:c r="C96" s="204" t="n">
        <x:v>77693</x:v>
      </x:c>
      <x:c r="D96" s="176" t="n">
        <x:f>C96/SUMIF($A$6:$A$185,A96,$C$6:$C$185)</x:f>
        <x:v>0.053918200732576325</x:v>
      </x:c>
      <x:c r="E96" s="176" t="n">
        <x:f>(D96+D87)/2</x:f>
        <x:v>0.05209766791032566</x:v>
      </x:c>
      <x:c r="F96" s="170" t="n">
        <x:v>0.05209766791032553</x:v>
      </x:c>
      <x:c r="G96" s="210" t="n">
        <x:f>(F96-E96)*100</x:f>
        <x:v>-1.3183898417423734e-14</x:v>
      </x:c>
      <x:c r="H96" s="167" t="n">
        <x:v>2.762916370718889</x:v>
      </x:c>
      <x:c r="I96" s="175" t="n">
        <x:f>F96*H96</x:f>
        <x:v>0.14394149954571456</x:v>
      </x:c>
    </x:row>
    <x:row r="97">
      <x:c r="A97" s="164" t="n">
        <x:v>2015</x:v>
      </x:c>
      <x:c r="B97" s="164" t="str">
        <x:v>Minería</x:v>
      </x:c>
      <x:c r="C97" s="203" t="n">
        <x:v>83746</x:v>
      </x:c>
      <x:c r="D97" s="174" t="n">
        <x:f>C97/SUMIF($A$6:$A$185,A97,$C$6:$C$185)</x:f>
        <x:v>0.05811892498101936</x:v>
      </x:c>
      <x:c r="E97" s="174" t="n">
        <x:f>(D97+D88)/2</x:f>
        <x:v>0.06550965867651071</x:v>
      </x:c>
      <x:c r="F97" s="169" t="n">
        <x:v>0.06550965867651101</x:v>
      </x:c>
      <x:c r="G97" s="209" t="n">
        <x:f>(F97-E97)*100</x:f>
        <x:v>3.0531133177191805e-14</x:v>
      </x:c>
      <x:c r="H97" s="166" t="n">
        <x:v>-3.415592255890976</x:v>
      </x:c>
      <x:c r="I97" s="173" t="n">
        <x:f>F97*H97</x:f>
        <x:v>-0.2237542828615521</x:v>
      </x:c>
    </x:row>
    <x:row r="98">
      <x:c r="A98" s="146" t="n">
        <x:v>2015</x:v>
      </x:c>
      <x:c r="B98" s="146" t="str">
        <x:v>Manufactura</x:v>
      </x:c>
      <x:c r="C98" s="204" t="n">
        <x:v>319899</x:v>
      </x:c>
      <x:c r="D98" s="176" t="n">
        <x:f>C98/SUMIF($A$6:$A$185,A98,$C$6:$C$185)</x:f>
        <x:v>0.22200685384977328</x:v>
      </x:c>
      <x:c r="E98" s="176" t="n">
        <x:f>(D98+D89)/2</x:f>
        <x:v>0.22142849162452527</x:v>
      </x:c>
      <x:c r="F98" s="170" t="n">
        <x:v>0.2214284916245248</x:v>
      </x:c>
      <x:c r="G98" s="210" t="n">
        <x:f>(F98-E98)*100</x:f>
        <x:v>-4.718447854656915e-14</x:v>
      </x:c>
      <x:c r="H98" s="167" t="n">
        <x:v>-1.015543048457428</x:v>
      </x:c>
      <x:c r="I98" s="175" t="n">
        <x:f>F98*H98</x:f>
        <x:v>-0.22487016539969995</x:v>
      </x:c>
    </x:row>
    <x:row r="99">
      <x:c r="A99" s="164" t="n">
        <x:v>2015</x:v>
      </x:c>
      <x:c r="B99" s="164" t="str">
        <x:v>Servicios públicos</x:v>
      </x:c>
      <x:c r="C99" s="203" t="n">
        <x:v>49119</x:v>
      </x:c>
      <x:c r="D99" s="174" t="n">
        <x:f>C99/SUMIF($A$6:$A$185,A99,$C$6:$C$185)</x:f>
        <x:v>0.03408811735656258</x:v>
      </x:c>
      <x:c r="E99" s="174" t="n">
        <x:f>(D99+D90)/2</x:f>
        <x:v>0.03289062512510832</x:v>
      </x:c>
      <x:c r="F99" s="169" t="n">
        <x:v>0.032890625125108076</x:v>
      </x:c>
      <x:c r="G99" s="209" t="n">
        <x:f>(F99-E99)*100</x:f>
        <x:v>-2.42861286636753e-14</x:v>
      </x:c>
      <x:c r="H99" s="166" t="n">
        <x:v>-1.543882404429683</x:v>
      </x:c>
      <x:c r="I99" s="173" t="n">
        <x:f>F99*H99</x:f>
        <x:v>-0.0507792574013472</x:v>
      </x:c>
    </x:row>
    <x:row r="100">
      <x:c r="A100" s="146" t="n">
        <x:v>2015</x:v>
      </x:c>
      <x:c r="B100" s="146" t="str">
        <x:v>Construcción</x:v>
      </x:c>
      <x:c r="C100" s="204" t="n">
        <x:v>152005</x:v>
      </x:c>
      <x:c r="D100" s="176" t="n">
        <x:f>C100/SUMIF($A$6:$A$185,A100,$C$6:$C$185)</x:f>
        <x:v>0.10549001972320884</x:v>
      </x:c>
      <x:c r="E100" s="176" t="n">
        <x:f>(D100+D91)/2</x:f>
        <x:v>0.1049679791277853</x:v>
      </x:c>
      <x:c r="F100" s="170" t="n">
        <x:v>0.10496797912778562</x:v>
      </x:c>
      <x:c r="G100" s="210" t="n">
        <x:f>(F100-E100)*100</x:f>
        <x:v>3.191891195797325e-14</x:v>
      </x:c>
      <x:c r="H100" s="167" t="n">
        <x:v>-0.6957646025933855</x:v>
      </x:c>
      <x:c r="I100" s="175" t="n">
        <x:f>F100*H100</x:f>
        <x:v>-0.07303300428287454</x:v>
      </x:c>
    </x:row>
    <x:row r="101">
      <x:c r="A101" s="164" t="n">
        <x:v>2015</x:v>
      </x:c>
      <x:c r="B101" s="164" t="str">
        <x:v>Comercio y hotelería</x:v>
      </x:c>
      <x:c r="C101" s="203" t="n">
        <x:v>176448</x:v>
      </x:c>
      <x:c r="D101" s="174" t="n">
        <x:f>C101/SUMIF($A$6:$A$185,A101,$C$6:$C$185)</x:f>
        <x:v>0.1224532285130144</x:v>
      </x:c>
      <x:c r="E101" s="174" t="n">
        <x:f>(D101+D92)/2</x:f>
        <x:v>0.12054157329000789</x:v>
      </x:c>
      <x:c r="F101" s="169" t="n">
        <x:v>0.12054157329000838</x:v>
      </x:c>
      <x:c r="G101" s="209" t="n">
        <x:f>(F101-E101)*100</x:f>
        <x:v>4.85722573273506e-14</x:v>
      </x:c>
      <x:c r="H101" s="166" t="n">
        <x:v>3.511944102071161</x:v>
      </x:c>
      <x:c r="I101" s="173" t="n">
        <x:f>F101*H101</x:f>
        <x:v>0.42333526737022353</x:v>
      </x:c>
    </x:row>
    <x:row r="102">
      <x:c r="A102" s="146" t="n">
        <x:v>2015</x:v>
      </x:c>
      <x:c r="B102" s="146" t="str">
        <x:v>Transporte y comunicaciones</x:v>
      </x:c>
      <x:c r="C102" s="204" t="n">
        <x:v>129920</x:v>
      </x:c>
      <x:c r="D102" s="176" t="n">
        <x:f>C102/SUMIF($A$6:$A$185,A102,$C$6:$C$185)</x:f>
        <x:v>0.0901632404357705</x:v>
      </x:c>
      <x:c r="E102" s="176" t="n">
        <x:f>(D102+D93)/2</x:f>
        <x:v>0.08977654800474019</x:v>
      </x:c>
      <x:c r="F102" s="170" t="n">
        <x:v>0.08977654800474003</x:v>
      </x:c>
      <x:c r="G102" s="210" t="n">
        <x:f>(F102-E102)*100</x:f>
        <x:v>-1.6653345369377348e-14</x:v>
      </x:c>
      <x:c r="H102" s="167" t="n">
        <x:v>-0.8220538651203575</x:v>
      </x:c>
      <x:c r="I102" s="175" t="n">
        <x:f>F102*H102</x:f>
        <x:v>-0.07380115828445985</x:v>
      </x:c>
    </x:row>
    <x:row r="103">
      <x:c r="A103" s="164" t="n">
        <x:v>2015</x:v>
      </x:c>
      <x:c r="B103" s="164" t="str">
        <x:v>Finanzas</x:v>
      </x:c>
      <x:c r="C103" s="203" t="n">
        <x:v>220431</x:v>
      </x:c>
      <x:c r="D103" s="174" t="n">
        <x:f>C103/SUMIF($A$6:$A$185,A103,$C$6:$C$185)</x:f>
        <x:v>0.15297701087205454</x:v>
      </x:c>
      <x:c r="E103" s="174" t="n">
        <x:f>(D103+D94)/2</x:f>
        <x:v>0.15383476180163688</x:v>
      </x:c>
      <x:c r="F103" s="169" t="n">
        <x:v>0.15383476180163666</x:v>
      </x:c>
      <x:c r="G103" s="209" t="n">
        <x:f>(F103-E103)*100</x:f>
        <x:v>-2.220446049250313e-14</x:v>
      </x:c>
      <x:c r="H103" s="166" t="n">
        <x:v>1.61209709700093</x:v>
      </x:c>
      <x:c r="I103" s="173" t="n">
        <x:f>F103*H103</x:f>
        <x:v>0.24799657291824803</x:v>
      </x:c>
    </x:row>
    <x:row r="104">
      <x:c r="A104" s="146" t="n">
        <x:v>2015</x:v>
      </x:c>
      <x:c r="B104" s="146" t="str">
        <x:v>Servicios sociales y personales</x:v>
      </x:c>
      <x:c r="C104" s="204" t="n">
        <x:v>231681</x:v>
      </x:c>
      <x:c r="D104" s="176" t="n">
        <x:f>C104/SUMIF($A$6:$A$185,A104,$C$6:$C$185)</x:f>
        <x:v>0.1607844035360202</x:v>
      </x:c>
      <x:c r="E104" s="176" t="n">
        <x:f>(D104+D95)/2</x:f>
        <x:v>0.15895269443935978</x:v>
      </x:c>
      <x:c r="F104" s="170" t="n">
        <x:v>0.15895269443935986</x:v>
      </x:c>
      <x:c r="G104" s="210" t="n">
        <x:f>(F104-E104)*100</x:f>
        <x:v>8.326672684688674e-15</x:v>
      </x:c>
      <x:c r="H104" s="167" t="n">
        <x:v>1.366675099229038</x:v>
      </x:c>
      <x:c r="I104" s="175" t="n">
        <x:f>F104*H104</x:f>
        <x:v>0.2172366894456351</x:v>
      </x:c>
    </x:row>
    <x:row r="105">
      <x:c r="A105" s="164" t="n">
        <x:v>2016</x:v>
      </x:c>
      <x:c r="B105" s="164" t="str">
        <x:v>Agropecuario</x:v>
      </x:c>
      <x:c r="C105" s="203" t="n">
        <x:v>89988</x:v>
      </x:c>
      <x:c r="D105" s="174" t="n">
        <x:f>C105/SUMIF($A$6:$A$185,A105,$C$6:$C$185)</x:f>
        <x:v>0.05829359663095816</x:v>
      </x:c>
      <x:c r="E105" s="174" t="n">
        <x:f>(D105+D96)/2</x:f>
        <x:v>0.05610589868176724</x:v>
      </x:c>
      <x:c r="F105" s="169" t="n">
        <x:v>0.05610589868176452</x:v>
      </x:c>
      <x:c r="G105" s="209" t="n">
        <x:f>(F105-E105)*100</x:f>
        <x:v>-2.7200464103316335e-13</x:v>
      </x:c>
      <x:c r="H105" s="166" t="n">
        <x:v>1.258488630478841</x:v>
      </x:c>
      <x:c r="I105" s="173" t="n">
        <x:f>F105*H105</x:f>
        <x:v>0.07060863559379844</x:v>
      </x:c>
    </x:row>
    <x:row r="106">
      <x:c r="A106" s="146" t="n">
        <x:v>2016</x:v>
      </x:c>
      <x:c r="B106" s="146" t="str">
        <x:v>Minería</x:v>
      </x:c>
      <x:c r="C106" s="204" t="n">
        <x:v>77051</x:v>
      </x:c>
      <x:c r="D106" s="176" t="n">
        <x:f>C106/SUMIF($A$6:$A$185,A106,$C$6:$C$185)</x:f>
        <x:v>0.04991309856883092</x:v>
      </x:c>
      <x:c r="E106" s="176" t="n">
        <x:f>(D106+D97)/2</x:f>
        <x:v>0.05401601177492514</x:v>
      </x:c>
      <x:c r="F106" s="170" t="n">
        <x:v>0.05401601177492865</x:v>
      </x:c>
      <x:c r="G106" s="210" t="n">
        <x:f>(F106-E106)*100</x:f>
        <x:v>3.5110803153770576e-13</x:v>
      </x:c>
      <x:c r="H106" s="167" t="n">
        <x:v>-1.884536099711061</x:v>
      </x:c>
      <x:c r="I106" s="175" t="n">
        <x:f>F106*H106</x:f>
        <x:v>-0.10179512415227078</x:v>
      </x:c>
    </x:row>
    <x:row r="107">
      <x:c r="A107" s="164" t="n">
        <x:v>2016</x:v>
      </x:c>
      <x:c r="B107" s="164" t="str">
        <x:v>Manufactura</x:v>
      </x:c>
      <x:c r="C107" s="203" t="n">
        <x:v>343183</x:v>
      </x:c>
      <x:c r="D107" s="174" t="n">
        <x:f>C107/SUMIF($A$6:$A$185,A107,$C$6:$C$185)</x:f>
        <x:v>0.22231154567944741</x:v>
      </x:c>
      <x:c r="E107" s="174" t="n">
        <x:f>(D107+D98)/2</x:f>
        <x:v>0.22215919976461035</x:v>
      </x:c>
      <x:c r="F107" s="169" t="n">
        <x:v>0.22215919976461246</x:v>
      </x:c>
      <x:c r="G107" s="209" t="n">
        <x:f>(F107-E107)*100</x:f>
        <x:v>2.1094237467877974e-13</x:v>
      </x:c>
      <x:c r="H107" s="166" t="n">
        <x:v>0.4785829203743972</x:v>
      </x:c>
      <x:c r="I107" s="173" t="n">
        <x:f>F107*H107</x:f>
        <x:v>0.10632159861138732</x:v>
      </x:c>
    </x:row>
    <x:row r="108">
      <x:c r="A108" s="146" t="n">
        <x:v>2016</x:v>
      </x:c>
      <x:c r="B108" s="146" t="str">
        <x:v>Servicios públicos</x:v>
      </x:c>
      <x:c r="C108" s="204" t="n">
        <x:v>53640</x:v>
      </x:c>
      <x:c r="D108" s="176" t="n">
        <x:f>C108/SUMIF($A$6:$A$185,A108,$C$6:$C$185)</x:f>
        <x:v>0.034747616607598744</x:v>
      </x:c>
      <x:c r="E108" s="176" t="n">
        <x:f>(D108+D99)/2</x:f>
        <x:v>0.03441786698208066</x:v>
      </x:c>
      <x:c r="F108" s="170" t="n">
        <x:v>0.03441786698207416</x:v>
      </x:c>
      <x:c r="G108" s="210" t="n">
        <x:f>(F108-E108)*100</x:f>
        <x:v>-6.494804694057166e-13</x:v>
      </x:c>
      <x:c r="H108" s="167" t="n">
        <x:v>-1.405680943475681</x:v>
      </x:c>
      <x:c r="I108" s="175" t="n">
        <x:f>F108*H108</x:f>
        <x:v>-0.048380539731782496</x:v>
      </x:c>
    </x:row>
    <x:row r="109">
      <x:c r="A109" s="164" t="n">
        <x:v>2016</x:v>
      </x:c>
      <x:c r="B109" s="164" t="str">
        <x:v>Construcción</x:v>
      </x:c>
      <x:c r="C109" s="203" t="n">
        <x:v>164325</x:v>
      </x:c>
      <x:c r="D109" s="174" t="n">
        <x:f>C109/SUMIF($A$6:$A$185,A109,$C$6:$C$185)</x:f>
        <x:v>0.10644858499335688</x:v>
      </x:c>
      <x:c r="E109" s="174" t="n">
        <x:f>(D109+D100)/2</x:f>
        <x:v>0.10596930235828286</x:v>
      </x:c>
      <x:c r="F109" s="169" t="n">
        <x:v>0.1059693023582875</x:v>
      </x:c>
      <x:c r="G109" s="209" t="n">
        <x:f>(F109-E109)*100</x:f>
        <x:v>4.635181127810029e-13</x:v>
      </x:c>
      <x:c r="H109" s="166" t="n">
        <x:v>-0.03753195565899592</x:v>
      </x:c>
      <x:c r="I109" s="173" t="n">
        <x:f>F109*H109</x:f>
        <x:v>-0.003977235157325978</x:v>
      </x:c>
    </x:row>
    <x:row r="110">
      <x:c r="A110" s="146" t="n">
        <x:v>2016</x:v>
      </x:c>
      <x:c r="B110" s="146" t="str">
        <x:v>Comercio y hotelería</x:v>
      </x:c>
      <x:c r="C110" s="204" t="n">
        <x:v>198046</x:v>
      </x:c>
      <x:c r="D110" s="176" t="n">
        <x:f>C110/SUMIF($A$6:$A$185,A110,$C$6:$C$185)</x:f>
        <x:v>0.12829281280142618</x:v>
      </x:c>
      <x:c r="E110" s="176" t="n">
        <x:f>(D110+D101)/2</x:f>
        <x:v>0.12537302065722028</x:v>
      </x:c>
      <x:c r="F110" s="170" t="n">
        <x:v>0.1253730206572185</x:v>
      </x:c>
      <x:c r="G110" s="210" t="n">
        <x:f>(F110-E110)*100</x:f>
        <x:v>-1.7763568394002505e-13</x:v>
      </x:c>
      <x:c r="H110" s="167" t="n">
        <x:v>0.05446474834625281</x:v>
      </x:c>
      <x:c r="I110" s="175" t="n">
        <x:f>F110*H110</x:f>
        <x:v>0.006828410019504961</x:v>
      </x:c>
    </x:row>
    <x:row r="111">
      <x:c r="A111" s="164" t="n">
        <x:v>2016</x:v>
      </x:c>
      <x:c r="B111" s="164" t="str">
        <x:v>Transporte y comunicaciones</x:v>
      </x:c>
      <x:c r="C111" s="203" t="n">
        <x:v>136530</x:v>
      </x:c>
      <x:c r="D111" s="174" t="n">
        <x:f>C111/SUMIF($A$6:$A$185,A111,$C$6:$C$185)</x:f>
        <x:v>0.08844317851296525</x:v>
      </x:c>
      <x:c r="E111" s="174" t="n">
        <x:f>(D111+D102)/2</x:f>
        <x:v>0.08930320947436787</x:v>
      </x:c>
      <x:c r="F111" s="169" t="n">
        <x:v>0.08930320947436576</x:v>
      </x:c>
      <x:c r="G111" s="209" t="n">
        <x:f>(F111-E111)*100</x:f>
        <x:v>-2.1094237467877974e-13</x:v>
      </x:c>
      <x:c r="H111" s="166" t="n">
        <x:v>-0.2149464472042305</x:v>
      </x:c>
      <x:c r="I111" s="173" t="n">
        <x:f>F111*H111</x:f>
        <x:v>-0.019195407600450097</x:v>
      </x:c>
    </x:row>
    <x:row r="112">
      <x:c r="A112" s="146" t="n">
        <x:v>2016</x:v>
      </x:c>
      <x:c r="B112" s="146" t="str">
        <x:v>Finanzas</x:v>
      </x:c>
      <x:c r="C112" s="204" t="n">
        <x:v>232790</x:v>
      </x:c>
      <x:c r="D112" s="176" t="n">
        <x:f>C112/SUMIF($A$6:$A$185,A112,$C$6:$C$185)</x:f>
        <x:v>0.15079973285016612</x:v>
      </x:c>
      <x:c r="E112" s="176" t="n">
        <x:f>(D112+D103)/2</x:f>
        <x:v>0.15188837186111032</x:v>
      </x:c>
      <x:c r="F112" s="170" t="n">
        <x:v>0.15188837186111023</x:v>
      </x:c>
      <x:c r="G112" s="210" t="n">
        <x:f>(F112-E112)*100</x:f>
        <x:v>-8.326672684688674e-15</x:v>
      </x:c>
      <x:c r="H112" s="167" t="n">
        <x:v>-3.575045430069326</x:v>
      </x:c>
      <x:c r="I112" s="175" t="n">
        <x:f>F112*H112</x:f>
        <x:v>-0.5430078297027325</x:v>
      </x:c>
    </x:row>
    <x:row r="113">
      <x:c r="A113" s="164" t="n">
        <x:v>2016</x:v>
      </x:c>
      <x:c r="B113" s="164" t="str">
        <x:v>Servicios sociales y personales</x:v>
      </x:c>
      <x:c r="C113" s="203" t="n">
        <x:v>248150</x:v>
      </x:c>
      <x:c r="D113" s="174" t="n">
        <x:f>C113/SUMIF($A$6:$A$185,A113,$C$6:$C$185)</x:f>
        <x:v>0.16074983335525034</x:v>
      </x:c>
      <x:c r="E113" s="174" t="n">
        <x:f>(D113+D104)/2</x:f>
        <x:v>0.16076711844563527</x:v>
      </x:c>
      <x:c r="F113" s="169" t="n">
        <x:v>0.1607671184456384</x:v>
      </x:c>
      <x:c r="G113" s="209" t="n">
        <x:f>(F113-E113)*100</x:f>
        <x:v>3.136380044566067e-13</x:v>
      </x:c>
      <x:c r="H113" s="166" t="n">
        <x:v>-0.2901764827156512</x:v>
      </x:c>
      <x:c r="I113" s="173" t="n">
        <x:f>F113*H113</x:f>
        <x:v>-0.04665083696688584</x:v>
      </x:c>
    </x:row>
    <x:row r="114">
      <x:c r="A114" s="146" t="n">
        <x:v>2017</x:v>
      </x:c>
      <x:c r="B114" s="146" t="str">
        <x:v>Agropecuario</x:v>
      </x:c>
      <x:c r="C114" s="204" t="n">
        <x:v>93223</x:v>
      </x:c>
      <x:c r="D114" s="176" t="n">
        <x:f>C114/SUMIF($A$6:$A$185,A114,$C$6:$C$185)</x:f>
        <x:v>0.05760465765816981</x:v>
      </x:c>
      <x:c r="E114" s="176" t="n">
        <x:f>(D114+D105)/2</x:f>
        <x:v>0.05794912714456398</x:v>
      </x:c>
      <x:c r="F114" s="170" t="n">
        <x:v>0.05794912714456391</x:v>
      </x:c>
      <x:c r="G114" s="210" t="n">
        <x:f>(F114-E114)*100</x:f>
        <x:v>-6.938893903907228e-15</x:v>
      </x:c>
      <x:c r="H114" s="167" t="n">
        <x:v>1.409865751323098</x:v>
      </x:c>
      <x:c r="I114" s="175" t="n">
        <x:f>F114*H114</x:f>
        <x:v>0.08170048968018834</x:v>
      </x:c>
    </x:row>
    <x:row r="115">
      <x:c r="A115" s="164" t="n">
        <x:v>2017</x:v>
      </x:c>
      <x:c r="B115" s="164" t="str">
        <x:v>Minería</x:v>
      </x:c>
      <x:c r="C115" s="203" t="n">
        <x:v>87006</x:v>
      </x:c>
      <x:c r="D115" s="174" t="n">
        <x:f>C115/SUMIF($A$6:$A$185,A115,$C$6:$C$185)</x:f>
        <x:v>0.05376302891139228</x:v>
      </x:c>
      <x:c r="E115" s="174" t="n">
        <x:f>(D115+D106)/2</x:f>
        <x:v>0.0518380637401116</x:v>
      </x:c>
      <x:c r="F115" s="169" t="n">
        <x:v>0.05183806374011167</x:v>
      </x:c>
      <x:c r="G115" s="209" t="n">
        <x:f>(F115-E115)*100</x:f>
        <x:v>6.938893903907228e-15</x:v>
      </x:c>
      <x:c r="H115" s="166" t="n">
        <x:v>-3.905633942038841</x:v>
      </x:c>
      <x:c r="I115" s="173" t="n">
        <x:f>F115*H115</x:f>
        <x:v>-0.20246050123295306</x:v>
      </x:c>
    </x:row>
    <x:row r="116">
      <x:c r="A116" s="146" t="n">
        <x:v>2017</x:v>
      </x:c>
      <x:c r="B116" s="146" t="str">
        <x:v>Manufactura</x:v>
      </x:c>
      <x:c r="C116" s="204" t="n">
        <x:v>348365</x:v>
      </x:c>
      <x:c r="D116" s="176" t="n">
        <x:f>C116/SUMIF($A$6:$A$185,A116,$C$6:$C$185)</x:f>
        <x:v>0.21526282746841793</x:v>
      </x:c>
      <x:c r="E116" s="176" t="n">
        <x:f>(D116+D107)/2</x:f>
        <x:v>0.21878718657393267</x:v>
      </x:c>
      <x:c r="F116" s="170" t="n">
        <x:v>0.2187871865739327</x:v>
      </x:c>
      <x:c r="G116" s="210" t="n">
        <x:f>(F116-E116)*100</x:f>
        <x:v>2.7755575615628914e-15</x:v>
      </x:c>
      <x:c r="H116" s="167" t="n">
        <x:v>-0.7413111430048136</x:v>
      </x:c>
      <x:c r="I116" s="175" t="n">
        <x:f>F116*H116</x:f>
        <x:v>-0.16218937935392946</x:v>
      </x:c>
    </x:row>
    <x:row r="117">
      <x:c r="A117" s="164" t="n">
        <x:v>2017</x:v>
      </x:c>
      <x:c r="B117" s="164" t="str">
        <x:v>Servicios públicos</x:v>
      </x:c>
      <x:c r="C117" s="203" t="n">
        <x:v>53953</x:v>
      </x:c>
      <x:c r="D117" s="174" t="n">
        <x:f>C117/SUMIF($A$6:$A$185,A117,$C$6:$C$185)</x:f>
        <x:v>0.03333881225267622</x:v>
      </x:c>
      <x:c r="E117" s="174" t="n">
        <x:f>(D117+D108)/2</x:f>
        <x:v>0.03404321443013748</x:v>
      </x:c>
      <x:c r="F117" s="169" t="n">
        <x:v>0.034043214430137386</x:v>
      </x:c>
      <x:c r="G117" s="209" t="n">
        <x:f>(F117-E117)*100</x:f>
        <x:v>-9.71445146547012e-15</x:v>
      </x:c>
      <x:c r="H117" s="166" t="n">
        <x:v>-0.5646658872885291</x:v>
      </x:c>
      <x:c r="I117" s="173" t="n">
        <x:f>F117*H117</x:f>
        <x:v>-0.019223041882347185</x:v>
      </x:c>
    </x:row>
    <x:row r="118">
      <x:c r="A118" s="146" t="n">
        <x:v>2017</x:v>
      </x:c>
      <x:c r="B118" s="146" t="str">
        <x:v>Construcción</x:v>
      </x:c>
      <x:c r="C118" s="204" t="n">
        <x:v>162647</x:v>
      </x:c>
      <x:c r="D118" s="176" t="n">
        <x:f>C118/SUMIF($A$6:$A$185,A118,$C$6:$C$185)</x:f>
        <x:v>0.10050336026654737</x:v>
      </x:c>
      <x:c r="E118" s="176" t="n">
        <x:f>(D118+D109)/2</x:f>
        <x:v>0.10347597262995212</x:v>
      </x:c>
      <x:c r="F118" s="170" t="n">
        <x:v>0.10347597262995206</x:v>
      </x:c>
      <x:c r="G118" s="210" t="n">
        <x:f>(F118-E118)*100</x:f>
        <x:v>-5.551115123125783e-15</x:v>
      </x:c>
      <x:c r="H118" s="167" t="n">
        <x:v>-1.311985617985779</x:v>
      </x:c>
      <x:c r="I118" s="175" t="n">
        <x:f>F118*H118</x:f>
        <x:v>-0.1357589878975872</x:v>
      </x:c>
    </x:row>
    <x:row r="119">
      <x:c r="A119" s="164" t="n">
        <x:v>2017</x:v>
      </x:c>
      <x:c r="B119" s="164" t="str">
        <x:v>Comercio y hotelería</x:v>
      </x:c>
      <x:c r="C119" s="203" t="n">
        <x:v>211517</x:v>
      </x:c>
      <x:c r="D119" s="174" t="n">
        <x:f>C119/SUMIF($A$6:$A$185,A119,$C$6:$C$185)</x:f>
        <x:v>0.1307012687199844</x:v>
      </x:c>
      <x:c r="E119" s="174" t="n">
        <x:f>(D119+D110)/2</x:f>
        <x:v>0.12949704076070528</x:v>
      </x:c>
      <x:c r="F119" s="169" t="n">
        <x:v>0.12949704076070556</x:v>
      </x:c>
      <x:c r="G119" s="209" t="n">
        <x:f>(F119-E119)*100</x:f>
        <x:v>2.7755575615628914e-14</x:v>
      </x:c>
      <x:c r="H119" s="166" t="n">
        <x:v>0.9996880238608787</x:v>
      </x:c>
      <x:c r="I119" s="173" t="n">
        <x:f>F119*H119</x:f>
        <x:v>0.1294566407739014</x:v>
      </x:c>
    </x:row>
    <x:row r="120">
      <x:c r="A120" s="146" t="n">
        <x:v>2017</x:v>
      </x:c>
      <x:c r="B120" s="146" t="str">
        <x:v>Transporte y comunicaciones</x:v>
      </x:c>
      <x:c r="C120" s="204" t="n">
        <x:v>142012</x:v>
      </x:c>
      <x:c r="D120" s="176" t="n">
        <x:f>C120/SUMIF($A$6:$A$185,A120,$C$6:$C$185)</x:f>
        <x:v>0.0877525143296398</x:v>
      </x:c>
      <x:c r="E120" s="176" t="n">
        <x:f>(D120+D111)/2</x:f>
        <x:v>0.08809784642130253</x:v>
      </x:c>
      <x:c r="F120" s="170" t="n">
        <x:v>0.08809784642130244</x:v>
      </x:c>
      <x:c r="G120" s="210" t="n">
        <x:f>(F120-E120)*100</x:f>
        <x:v>-8.326672684688674e-15</x:v>
      </x:c>
      <x:c r="H120" s="167" t="n">
        <x:v>0.477430042363971</x:v>
      </x:c>
      <x:c r="I120" s="175" t="n">
        <x:f>F120*H120</x:f>
        <x:v>0.04206055854909704</x:v>
      </x:c>
    </x:row>
    <x:row r="121">
      <x:c r="A121" s="164" t="n">
        <x:v>2017</x:v>
      </x:c>
      <x:c r="B121" s="164" t="str">
        <x:v>Finanzas</x:v>
      </x:c>
      <x:c r="C121" s="203" t="n">
        <x:v>249967</x:v>
      </x:c>
      <x:c r="D121" s="174" t="n">
        <x:f>C121/SUMIF($A$6:$A$185,A121,$C$6:$C$185)</x:f>
        <x:v>0.15446041707346614</x:v>
      </x:c>
      <x:c r="E121" s="174" t="n">
        <x:f>(D121+D112)/2</x:f>
        <x:v>0.15263007496181613</x:v>
      </x:c>
      <x:c r="F121" s="169" t="n">
        <x:v>0.1526300749618162</x:v>
      </x:c>
      <x:c r="G121" s="209" t="n">
        <x:f>(F121-E121)*100</x:f>
        <x:v>5.551115123125783e-15</x:v>
      </x:c>
      <x:c r="H121" s="166" t="n">
        <x:v>-0.9114071366321785</x:v>
      </x:c>
      <x:c r="I121" s="173" t="n">
        <x:f>F121*H121</x:f>
        <x:v>-0.13910813958490365</x:v>
      </x:c>
    </x:row>
    <x:row r="122">
      <x:c r="A122" s="146" t="n">
        <x:v>2017</x:v>
      </x:c>
      <x:c r="B122" s="146" t="str">
        <x:v>Servicios sociales y personales</x:v>
      </x:c>
      <x:c r="C122" s="204" t="n">
        <x:v>269634</x:v>
      </x:c>
      <x:c r="D122" s="176" t="n">
        <x:f>C122/SUMIF($A$6:$A$185,A122,$C$6:$C$185)</x:f>
        <x:v>0.16661311331970607</x:v>
      </x:c>
      <x:c r="E122" s="176" t="n">
        <x:f>(D122+D113)/2</x:f>
        <x:v>0.1636814733374782</x:v>
      </x:c>
      <x:c r="F122" s="170" t="n">
        <x:v>0.16368147333747815</x:v>
      </x:c>
      <x:c r="G122" s="210" t="n">
        <x:f>(F122-E122)*100</x:f>
        <x:v>-5.551115123125783e-15</x:v>
      </x:c>
      <x:c r="H122" s="167" t="n">
        <x:v>3.203928254913168</x:v>
      </x:c>
      <x:c r="I122" s="175" t="n">
        <x:f>F122*H122</x:f>
        <x:v>0.5244236972317625</x:v>
      </x:c>
    </x:row>
    <x:row r="123">
      <x:c r="A123" s="164" t="n">
        <x:v>2018</x:v>
      </x:c>
      <x:c r="B123" s="164" t="str">
        <x:v>Agropecuario</x:v>
      </x:c>
      <x:c r="C123" s="203" t="n">
        <x:v>97759</x:v>
      </x:c>
      <x:c r="D123" s="174" t="n">
        <x:f>C123/SUMIF($A$6:$A$185,A123,$C$6:$C$185)</x:f>
        <x:v>0.056413689231026694</x:v>
      </x:c>
      <x:c r="E123" s="174" t="n">
        <x:f>(D123+D114)/2</x:f>
        <x:v>0.05700917344459825</x:v>
      </x:c>
      <x:c r="F123" s="169" t="n">
        <x:v>0.05700917344459816</x:v>
      </x:c>
      <x:c r="G123" s="209" t="n">
        <x:f>(F123-E123)*100</x:f>
        <x:v>-9.020562075079397e-15</x:v>
      </x:c>
      <x:c r="H123" s="166" t="n">
        <x:v>0.9653513786288801</x:v>
      </x:c>
      <x:c r="I123" s="173" t="n">
        <x:f>F123*H123</x:f>
        <x:v>0.05503388417923578</x:v>
      </x:c>
    </x:row>
    <x:row r="124">
      <x:c r="A124" s="146" t="n">
        <x:v>2018</x:v>
      </x:c>
      <x:c r="B124" s="146" t="str">
        <x:v>Minería</x:v>
      </x:c>
      <x:c r="C124" s="204" t="n">
        <x:v>101914</x:v>
      </x:c>
      <x:c r="D124" s="176" t="n">
        <x:f>C124/SUMIF($A$6:$A$185,A124,$C$6:$C$185)</x:f>
        <x:v>0.05881141096257996</x:v>
      </x:c>
      <x:c r="E124" s="176" t="n">
        <x:f>(D124+D115)/2</x:f>
        <x:v>0.05628721993698612</x:v>
      </x:c>
      <x:c r="F124" s="170" t="n">
        <x:v>0.05628721993698596</x:v>
      </x:c>
      <x:c r="G124" s="210" t="n">
        <x:f>(F124-E124)*100</x:f>
        <x:v>-1.5959455978986625e-14</x:v>
      </x:c>
      <x:c r="H124" s="167" t="n">
        <x:v>-4.47748708434442</x:v>
      </x:c>
      <x:c r="I124" s="175" t="n">
        <x:f>F124*H124</x:f>
        <x:v>-0.2520253002815084</x:v>
      </x:c>
    </x:row>
    <x:row r="125">
      <x:c r="A125" s="164" t="n">
        <x:v>2018</x:v>
      </x:c>
      <x:c r="B125" s="164" t="str">
        <x:v>Manufactura</x:v>
      </x:c>
      <x:c r="C125" s="203" t="n">
        <x:v>367337</x:v>
      </x:c>
      <x:c r="D125" s="174" t="n">
        <x:f>C125/SUMIF($A$6:$A$185,A125,$C$6:$C$185)</x:f>
        <x:v>0.2119787984846168</x:v>
      </x:c>
      <x:c r="E125" s="174" t="n">
        <x:f>(D125+D116)/2</x:f>
        <x:v>0.21362081297651736</x:v>
      </x:c>
      <x:c r="F125" s="169" t="n">
        <x:v>0.21362081297651725</x:v>
      </x:c>
      <x:c r="G125" s="209" t="n">
        <x:f>(F125-E125)*100</x:f>
        <x:v>-1.1102230246251565e-14</x:v>
      </x:c>
      <x:c r="H125" s="166" t="n">
        <x:v>-0.1244861122196323</x:v>
      </x:c>
      <x:c r="I125" s="173" t="n">
        <x:f>F125*H125</x:f>
        <x:v>-0.02659282449664381</x:v>
      </x:c>
    </x:row>
    <x:row r="126">
      <x:c r="A126" s="146" t="n">
        <x:v>2018</x:v>
      </x:c>
      <x:c r="B126" s="146" t="str">
        <x:v>Servicios públicos</x:v>
      </x:c>
      <x:c r="C126" s="204" t="n">
        <x:v>59372</x:v>
      </x:c>
      <x:c r="D126" s="176" t="n">
        <x:f>C126/SUMIF($A$6:$A$185,A126,$C$6:$C$185)</x:f>
        <x:v>0.034261741190320244</x:v>
      </x:c>
      <x:c r="E126" s="176" t="n">
        <x:f>(D126+D117)/2</x:f>
        <x:v>0.03380027672149823</x:v>
      </x:c>
      <x:c r="F126" s="170" t="n">
        <x:v>0.03380027672149828</x:v>
      </x:c>
      <x:c r="G126" s="210" t="n">
        <x:f>(F126-E126)*100</x:f>
        <x:v>4.85722573273506e-15</x:v>
      </x:c>
      <x:c r="H126" s="167" t="n">
        <x:v>-0.1995400957006175</x:v>
      </x:c>
      <x:c r="I126" s="175" t="n">
        <x:f>F126*H126</x:f>
        <x:v>-0.0067445104517151215</x:v>
      </x:c>
    </x:row>
    <x:row r="127">
      <x:c r="A127" s="164" t="n">
        <x:v>2018</x:v>
      </x:c>
      <x:c r="B127" s="164" t="str">
        <x:v>Construcción</x:v>
      </x:c>
      <x:c r="C127" s="203" t="n">
        <x:v>167458</x:v>
      </x:c>
      <x:c r="D127" s="174" t="n">
        <x:f>C127/SUMIF($A$6:$A$185,A127,$C$6:$C$185)</x:f>
        <x:v>0.09663482207519786</x:v>
      </x:c>
      <x:c r="E127" s="174" t="n">
        <x:f>(D127+D118)/2</x:f>
        <x:v>0.09856909117087262</x:v>
      </x:c>
      <x:c r="F127" s="169" t="n">
        <x:v>0.09856909117087247</x:v>
      </x:c>
      <x:c r="G127" s="209" t="n">
        <x:f>(F127-E127)*100</x:f>
        <x:v>-1.5265566588595902e-14</x:v>
      </x:c>
      <x:c r="H127" s="166" t="n">
        <x:v>0.2993275297417135</x:v>
      </x:c>
      <x:c r="I127" s="173" t="n">
        <x:f>F127*H127</x:f>
        <x:v>0.029504442569062997</x:v>
      </x:c>
    </x:row>
    <x:row r="128">
      <x:c r="A128" s="146" t="n">
        <x:v>2018</x:v>
      </x:c>
      <x:c r="B128" s="146" t="str">
        <x:v>Comercio y hotelería</x:v>
      </x:c>
      <x:c r="C128" s="204" t="n">
        <x:v>225923</x:v>
      </x:c>
      <x:c r="D128" s="176" t="n">
        <x:f>C128/SUMIF($A$6:$A$185,A128,$C$6:$C$185)</x:f>
        <x:v>0.13037316167453886</x:v>
      </x:c>
      <x:c r="E128" s="176" t="n">
        <x:f>(D128+D119)/2</x:f>
        <x:v>0.13053721519726164</x:v>
      </x:c>
      <x:c r="F128" s="170" t="n">
        <x:v>0.1305372151972618</x:v>
      </x:c>
      <x:c r="G128" s="210" t="n">
        <x:f>(F128-E128)*100</x:f>
        <x:v>1.6653345369377348e-14</x:v>
      </x:c>
      <x:c r="H128" s="167" t="n">
        <x:v>1.242190422264866</x:v>
      </x:c>
      <x:c r="I128" s="175" t="n">
        <x:f>F128*H128</x:f>
        <x:v>0.16215207846716634</x:v>
      </x:c>
    </x:row>
    <x:row r="129">
      <x:c r="A129" s="164" t="n">
        <x:v>2018</x:v>
      </x:c>
      <x:c r="B129" s="164" t="str">
        <x:v>Transporte y comunicaciones</x:v>
      </x:c>
      <x:c r="C129" s="203" t="n">
        <x:v>151276</x:v>
      </x:c>
      <x:c r="D129" s="174" t="n">
        <x:f>C129/SUMIF($A$6:$A$185,A129,$C$6:$C$185)</x:f>
        <x:v>0.08729669137483806</x:v>
      </x:c>
      <x:c r="E129" s="174" t="n">
        <x:f>(D129+D120)/2</x:f>
        <x:v>0.08752460285223893</x:v>
      </x:c>
      <x:c r="F129" s="169" t="n">
        <x:v>0.08752460285223887</x:v>
      </x:c>
      <x:c r="G129" s="209" t="n">
        <x:f>(F129-E129)*100</x:f>
        <x:v>-5.551115123125783e-15</x:v>
      </x:c>
      <x:c r="H129" s="166" t="n">
        <x:v>1.394856333770233</x:v>
      </x:c>
      <x:c r="I129" s="173" t="n">
        <x:f>F129*H129</x:f>
        <x:v>0.1220842466491696</x:v>
      </x:c>
    </x:row>
    <x:row r="130">
      <x:c r="A130" s="146" t="n">
        <x:v>2018</x:v>
      </x:c>
      <x:c r="B130" s="146" t="str">
        <x:v>Finanzas</x:v>
      </x:c>
      <x:c r="C130" s="204" t="n">
        <x:v>269220</x:v>
      </x:c>
      <x:c r="D130" s="176" t="n">
        <x:f>C130/SUMIF($A$6:$A$185,A130,$C$6:$C$185)</x:f>
        <x:v>0.15535851854844063</x:v>
      </x:c>
      <x:c r="E130" s="176" t="n">
        <x:f>(D130+D121)/2</x:f>
        <x:v>0.15490946781095338</x:v>
      </x:c>
      <x:c r="F130" s="170" t="n">
        <x:v>0.15490946781095347</x:v>
      </x:c>
      <x:c r="G130" s="210" t="n">
        <x:f>(F130-E130)*100</x:f>
        <x:v>8.326672684688674e-15</x:v>
      </x:c>
      <x:c r="H130" s="167" t="n">
        <x:v>-0.06093497941928661</x:v>
      </x:c>
      <x:c r="I130" s="175" t="n">
        <x:f>F130*H130</x:f>
        <x:v>-0.009439405232913091</x:v>
      </x:c>
    </x:row>
    <x:row r="131">
      <x:c r="A131" s="164" t="n">
        <x:v>2018</x:v>
      </x:c>
      <x:c r="B131" s="164" t="str">
        <x:v>Servicios sociales y personales</x:v>
      </x:c>
      <x:c r="C131" s="203" t="n">
        <x:v>292636</x:v>
      </x:c>
      <x:c r="D131" s="174" t="n">
        <x:f>C131/SUMIF($A$6:$A$185,A131,$C$6:$C$185)</x:f>
        <x:v>0.16887116645844094</x:v>
      </x:c>
      <x:c r="E131" s="174" t="n">
        <x:f>(D131+D122)/2</x:f>
        <x:v>0.1677421398890735</x:v>
      </x:c>
      <x:c r="F131" s="169" t="n">
        <x:v>0.16774213988907344</x:v>
      </x:c>
      <x:c r="G131" s="209" t="n">
        <x:f>(F131-E131)*100</x:f>
        <x:v>-5.551115123125783e-15</x:v>
      </x:c>
      <x:c r="H131" s="166" t="n">
        <x:v>0.484025651499655</x:v>
      </x:c>
      <x:c r="I131" s="173" t="n">
        <x:f>F131*H131</x:f>
        <x:v>0.08119149854375504</x:v>
      </x:c>
    </x:row>
    <x:row r="132">
      <x:c r="A132" s="146" t="n">
        <x:v>2019</x:v>
      </x:c>
      <x:c r="B132" s="146" t="str">
        <x:v>Agropecuario</x:v>
      </x:c>
      <x:c r="C132" s="204" t="n">
        <x:v>107470</x:v>
      </x:c>
      <x:c r="D132" s="176" t="n">
        <x:f>C132/SUMIF($A$6:$A$185,A132,$C$6:$C$185)</x:f>
        <x:v>0.057859048316370065</x:v>
      </x:c>
      <x:c r="E132" s="176" t="n">
        <x:f>(D132+D123)/2</x:f>
        <x:v>0.057136368773698376</x:v>
      </x:c>
      <x:c r="F132" s="170" t="n">
        <x:v>0.05713636877369871</x:v>
      </x:c>
      <x:c r="G132" s="210" t="n">
        <x:f>(F132-E132)*100</x:f>
        <x:v>3.3306690738754696e-14</x:v>
      </x:c>
      <x:c r="H132" s="167" t="n">
        <x:v>2.965325833617302</x:v>
      </x:c>
      <x:c r="I132" s="175" t="n">
        <x:f>F132*H132</x:f>
        <x:v>0.1694279503637337</x:v>
      </x:c>
    </x:row>
    <x:row r="133">
      <x:c r="A133" s="164" t="n">
        <x:v>2019</x:v>
      </x:c>
      <x:c r="B133" s="164" t="str">
        <x:v>Minería</x:v>
      </x:c>
      <x:c r="C133" s="203" t="n">
        <x:v>104633</x:v>
      </x:c>
      <x:c r="D133" s="174" t="n">
        <x:f>C133/SUMIF($A$6:$A$185,A133,$C$6:$C$185)</x:f>
        <x:v>0.056331681422599325</x:v>
      </x:c>
      <x:c r="E133" s="174" t="n">
        <x:f>(D133+D124)/2</x:f>
        <x:v>0.05757154619258964</x:v>
      </x:c>
      <x:c r="F133" s="169" t="n">
        <x:v>0.05757154619259014</x:v>
      </x:c>
      <x:c r="G133" s="209" t="n">
        <x:f>(F133-E133)*100</x:f>
        <x:v>4.9960036108132044e-14</x:v>
      </x:c>
      <x:c r="H133" s="166" t="n">
        <x:v>-1.079371321192514</x:v>
      </x:c>
      <x:c r="I133" s="173" t="n">
        <x:f>F133*H133</x:f>
        <x:v>-0.062141075876991865</x:v>
      </x:c>
    </x:row>
    <x:row r="134">
      <x:c r="A134" s="146" t="n">
        <x:v>2019</x:v>
      </x:c>
      <x:c r="B134" s="146" t="str">
        <x:v>Manufactura</x:v>
      </x:c>
      <x:c r="C134" s="204" t="n">
        <x:v>391341</x:v>
      </x:c>
      <x:c r="D134" s="176" t="n">
        <x:f>C134/SUMIF($A$6:$A$185,A134,$C$6:$C$185)</x:f>
        <x:v>0.2106877996387511</x:v>
      </x:c>
      <x:c r="E134" s="176" t="n">
        <x:f>(D134+D125)/2</x:f>
        <x:v>0.21133329906168394</x:v>
      </x:c>
      <x:c r="F134" s="170" t="n">
        <x:v>0.21133410662260665</x:v>
      </x:c>
      <x:c r="G134" s="210" t="n">
        <x:f>(F134-E134)*100</x:f>
        <x:v>0.00008075609227164993</x:v>
      </x:c>
      <x:c r="H134" s="167" t="n">
        <x:v>-0.01082758408335449</x:v>
      </x:c>
      <x:c r="I134" s="175" t="n">
        <x:f>F134*H134</x:f>
        <x:v>-0.0022882378091368762</x:v>
      </x:c>
    </x:row>
    <x:row r="135">
      <x:c r="A135" s="164" t="n">
        <x:v>2019</x:v>
      </x:c>
      <x:c r="B135" s="164" t="str">
        <x:v>Servicios públicos</x:v>
      </x:c>
      <x:c r="C135" s="203" t="n">
        <x:v>67773</x:v>
      </x:c>
      <x:c r="D135" s="174" t="n">
        <x:f>C135/SUMIF($A$6:$A$185,A135,$C$6:$C$185)</x:f>
        <x:v>0.036487217656512035</x:v>
      </x:c>
      <x:c r="E135" s="174" t="n">
        <x:f>(D135+D126)/2</x:f>
        <x:v>0.035374479423416136</x:v>
      </x:c>
      <x:c r="F135" s="169" t="n">
        <x:v>0.03537447942341612</x:v>
      </x:c>
      <x:c r="G135" s="209" t="n">
        <x:f>(F135-E135)*100</x:f>
        <x:v>-1.3877787807814457e-15</x:v>
      </x:c>
      <x:c r="H135" s="166" t="n">
        <x:v>0.02033753977293618</x:v>
      </x:c>
      <x:c r="I135" s="173" t="n">
        <x:f>F135*H135</x:f>
        <x:v>0.0007194298822206379</x:v>
      </x:c>
    </x:row>
    <x:row r="136">
      <x:c r="A136" s="146" t="n">
        <x:v>2019</x:v>
      </x:c>
      <x:c r="B136" s="146" t="str">
        <x:v>Construcción</x:v>
      </x:c>
      <x:c r="C136" s="204" t="n">
        <x:v>170211</x:v>
      </x:c>
      <x:c r="D136" s="176" t="n">
        <x:f>C136/SUMIF($A$6:$A$185,A136,$C$6:$C$185)</x:f>
        <x:v>0.0916371682607022</x:v>
      </x:c>
      <x:c r="E136" s="176" t="n">
        <x:f>(D136+D127)/2</x:f>
        <x:v>0.09413599516795003</x:v>
      </x:c>
      <x:c r="F136" s="170" t="n">
        <x:v>0.09413599516795043</x:v>
      </x:c>
      <x:c r="G136" s="210" t="n">
        <x:f>(F136-E136)*100</x:f>
        <x:v>4.0245584642661925e-14</x:v>
      </x:c>
      <x:c r="H136" s="167" t="n">
        <x:v>-2.155008539843339</x:v>
      </x:c>
      <x:c r="I136" s="175" t="n">
        <x:f>F136*H136</x:f>
        <x:v>-0.20286387349358448</x:v>
      </x:c>
    </x:row>
    <x:row r="137">
      <x:c r="A137" s="164" t="n">
        <x:v>2019</x:v>
      </x:c>
      <x:c r="B137" s="164" t="str">
        <x:v>Comercio y hotelería</x:v>
      </x:c>
      <x:c r="C137" s="203" t="n">
        <x:v>244466</x:v>
      </x:c>
      <x:c r="D137" s="174" t="n">
        <x:f>C137/SUMIF($A$6:$A$185,A137,$C$6:$C$185)</x:f>
        <x:v>0.13161412585567808</x:v>
      </x:c>
      <x:c r="E137" s="174" t="n">
        <x:f>(D137+D128)/2</x:f>
        <x:v>0.13099364376510847</x:v>
      </x:c>
      <x:c r="F137" s="169" t="n">
        <x:v>0.13099364376510925</x:v>
      </x:c>
      <x:c r="G137" s="209" t="n">
        <x:f>(F137-E137)*100</x:f>
        <x:v>7.771561172376096e-14</x:v>
      </x:c>
      <x:c r="H137" s="166" t="n">
        <x:v>0.06304138586469277</x:v>
      </x:c>
      <x:c r="I137" s="173" t="n">
        <x:f>F137*H137</x:f>
        <x:v>0.008258020842418359</x:v>
      </x:c>
    </x:row>
    <x:row r="138">
      <x:c r="A138" s="146" t="n">
        <x:v>2019</x:v>
      </x:c>
      <x:c r="B138" s="146" t="str">
        <x:v>Transporte y comunicaciones</x:v>
      </x:c>
      <x:c r="C138" s="204" t="n">
        <x:v>160121</x:v>
      </x:c>
      <x:c r="D138" s="176" t="n">
        <x:f>C138/SUMIF($A$6:$A$185,A138,$C$6:$C$185)</x:f>
        <x:v>0.0862049751136642</x:v>
      </x:c>
      <x:c r="E138" s="176" t="n">
        <x:f>(D138+D129)/2</x:f>
        <x:v>0.08675083324425113</x:v>
      </x:c>
      <x:c r="F138" s="170" t="n">
        <x:v>0.08675083324425048</x:v>
      </x:c>
      <x:c r="G138" s="210" t="n">
        <x:f>(F138-E138)*100</x:f>
        <x:v>-6.522560269672795e-14</x:v>
      </x:c>
      <x:c r="H138" s="167" t="n">
        <x:v>0.06996641145780869</x:v>
      </x:c>
      <x:c r="I138" s="175" t="n">
        <x:f>F138*H138</x:f>
        <x:v>0.0060696444930749775</x:v>
      </x:c>
    </x:row>
    <x:row r="139">
      <x:c r="A139" s="164" t="n">
        <x:v>2019</x:v>
      </x:c>
      <x:c r="B139" s="164" t="str">
        <x:v>Finanzas</x:v>
      </x:c>
      <x:c r="C139" s="203" t="n">
        <x:v>287917</x:v>
      </x:c>
      <x:c r="D139" s="174" t="n">
        <x:f>C139/SUMIF($A$6:$A$185,A139,$C$6:$C$185)</x:f>
        <x:v>0.15500701232068784</x:v>
      </x:c>
      <x:c r="E139" s="174" t="n">
        <x:f>(D139+D130)/2</x:f>
        <x:v>0.15518276543456422</x:v>
      </x:c>
      <x:c r="F139" s="169" t="n">
        <x:v>0.15518249624758945</x:v>
      </x:c>
      <x:c r="G139" s="209" t="n">
        <x:f>(F139-E139)*100</x:f>
        <x:v>-0.000026918697476618902</x:v>
      </x:c>
      <x:c r="H139" s="166" t="n">
        <x:v>0.1063362877133422</x:v>
      </x:c>
      <x:c r="I139" s="173" t="n">
        <x:f>F139*H139</x:f>
        <x:v>0.016501530569058318</x:v>
      </x:c>
    </x:row>
    <x:row r="140">
      <x:c r="A140" s="146" t="n">
        <x:v>2019</x:v>
      </x:c>
      <x:c r="B140" s="146" t="str">
        <x:v>Servicios sociales y personales</x:v>
      </x:c>
      <x:c r="C140" s="204" t="n">
        <x:v>323513</x:v>
      </x:c>
      <x:c r="D140" s="176" t="n">
        <x:f>C140/SUMIF($A$6:$A$185,A140,$C$6:$C$185)</x:f>
        <x:v>0.17417097141503518</x:v>
      </x:c>
      <x:c r="E140" s="176" t="n">
        <x:f>(D140+D131)/2</x:f>
        <x:v>0.17152106893673807</x:v>
      </x:c>
      <x:c r="F140" s="170" t="n">
        <x:v>0.17152053056278882</x:v>
      </x:c>
      <x:c r="G140" s="210" t="n">
        <x:f>(F140-E140)*100</x:f>
        <x:v>-0.00005383739492548223</x:v>
      </x:c>
      <x:c r="H140" s="167" t="n">
        <x:v>1.22946186677786</x:v>
      </x:c>
      <x:c r="I140" s="175" t="n">
        <x:f>F140*H140</x:f>
        <x:v>0.21087795169645535</x:v>
      </x:c>
    </x:row>
    <x:row r="141">
      <x:c r="A141" s="164" t="n">
        <x:v>2020</x:v>
      </x:c>
      <x:c r="B141" s="164" t="str">
        <x:v>Agropecuario</x:v>
      </x:c>
      <x:c r="C141" s="203" t="n">
        <x:v>118643</x:v>
      </x:c>
      <x:c r="D141" s="174" t="n">
        <x:f>C141/SUMIF($A$6:$A$185,A141,$C$6:$C$185)</x:f>
        <x:v>0.06773124892602672</x:v>
      </x:c>
      <x:c r="E141" s="174" t="n">
        <x:f>(D141+D132)/2</x:f>
        <x:v>0.0627951486211984</x:v>
      </x:c>
      <x:c r="F141" s="169" t="n">
        <x:v>0.06279514862119817</x:v>
      </x:c>
      <x:c r="G141" s="209" t="n">
        <x:f>(F141-E141)*100</x:f>
        <x:v>-2.220446049250313e-14</x:v>
      </x:c>
      <x:c r="H141" s="166" t="n">
        <x:v>3.389846279710143</x:v>
      </x:c>
      <x:c r="I141" s="173" t="n">
        <x:f>F141*H141</x:f>
        <x:v>0.21286590093741414</x:v>
      </x:c>
    </x:row>
    <x:row r="142">
      <x:c r="A142" s="146" t="n">
        <x:v>2020</x:v>
      </x:c>
      <x:c r="B142" s="146" t="str">
        <x:v>Minería</x:v>
      </x:c>
      <x:c r="C142" s="204" t="n">
        <x:v>76193</x:v>
      </x:c>
      <x:c r="D142" s="176" t="n">
        <x:f>C142/SUMIF($A$6:$A$185,A142,$C$6:$C$185)</x:f>
        <x:v>0.04349727374915295</x:v>
      </x:c>
      <x:c r="E142" s="176" t="n">
        <x:f>(D142+D133)/2</x:f>
        <x:v>0.04991447758587614</x:v>
      </x:c>
      <x:c r="F142" s="170" t="n">
        <x:v>0.04991447758587564</x:v>
      </x:c>
      <x:c r="G142" s="210" t="n">
        <x:f>(F142-E142)*100</x:f>
        <x:v>-4.9960036108132044e-14</x:v>
      </x:c>
      <x:c r="H142" s="167" t="n">
        <x:v>-8.483295101509748</x:v>
      </x:c>
      <x:c r="I142" s="175" t="n">
        <x:f>F142*H142</x:f>
        <x:v>-0.42343924319867693</x:v>
      </x:c>
    </x:row>
    <x:row r="143">
      <x:c r="A143" s="164" t="n">
        <x:v>2020</x:v>
      </x:c>
      <x:c r="B143" s="164" t="str">
        <x:v>Manufactura</x:v>
      </x:c>
      <x:c r="C143" s="203" t="n">
        <x:v>372703</x:v>
      </x:c>
      <x:c r="D143" s="174" t="n">
        <x:f>C143/SUMIF($A$6:$A$185,A143,$C$6:$C$185)</x:f>
        <x:v>0.21276973499049195</x:v>
      </x:c>
      <x:c r="E143" s="174" t="n">
        <x:f>(D143+D134)/2</x:f>
        <x:v>0.21172876731462154</x:v>
      </x:c>
      <x:c r="F143" s="169" t="n">
        <x:v>0.211729574875545</x:v>
      </x:c>
      <x:c r="G143" s="209" t="n">
        <x:f>(F143-E143)*100</x:f>
        <x:v>0.00008075609234658998</x:v>
      </x:c>
      <x:c r="H143" s="166" t="n">
        <x:v>-1.930024983786335</x:v>
      </x:c>
      <x:c r="I143" s="173" t="n">
        <x:f>F143*H143</x:f>
        <x:v>-0.40864336931626133</x:v>
      </x:c>
    </x:row>
    <x:row r="144">
      <x:c r="A144" s="146" t="n">
        <x:v>2020</x:v>
      </x:c>
      <x:c r="B144" s="146" t="str">
        <x:v>Servicios públicos</x:v>
      </x:c>
      <x:c r="C144" s="204" t="n">
        <x:v>72278</x:v>
      </x:c>
      <x:c r="D144" s="176" t="n">
        <x:f>C144/SUMIF($A$6:$A$185,A144,$C$6:$C$185)</x:f>
        <x:v>0.0412622675579289</x:v>
      </x:c>
      <x:c r="E144" s="176" t="n">
        <x:f>(D144+D135)/2</x:f>
        <x:v>0.03887474260722047</x:v>
      </x:c>
      <x:c r="F144" s="170" t="n">
        <x:v>0.03887474260722046</x:v>
      </x:c>
      <x:c r="G144" s="210" t="n">
        <x:f>(F144-E144)*100</x:f>
        <x:v>-1.3877787807814457e-15</x:v>
      </x:c>
      <x:c r="H144" s="167" t="n">
        <x:v>-0.8771261881283954</x:v>
      </x:c>
      <x:c r="I144" s="175" t="n">
        <x:f>F144*H144</x:f>
        <x:v>-0.0340980547975438</x:v>
      </x:c>
    </x:row>
    <x:row r="145">
      <x:c r="A145" s="164" t="n">
        <x:v>2020</x:v>
      </x:c>
      <x:c r="B145" s="164" t="str">
        <x:v>Construcción</x:v>
      </x:c>
      <x:c r="C145" s="203" t="n">
        <x:v>129972</x:v>
      </x:c>
      <x:c r="D145" s="174" t="n">
        <x:f>C145/SUMIF($A$6:$A$185,A145,$C$6:$C$185)</x:f>
        <x:v>0.07419878025179358</x:v>
      </x:c>
      <x:c r="E145" s="174" t="n">
        <x:f>(D145+D136)/2</x:f>
        <x:v>0.08291797425624789</x:v>
      </x:c>
      <x:c r="F145" s="169" t="n">
        <x:v>0.08291797425624801</x:v>
      </x:c>
      <x:c r="G145" s="209" t="n">
        <x:f>(F145-E145)*100</x:f>
        <x:v>1.2490009027033011e-14</x:v>
      </x:c>
      <x:c r="H145" s="166" t="n">
        <x:v>-9.761664221966765</x:v>
      </x:c>
      <x:c r="I145" s="173" t="n">
        <x:f>F145*H145</x:f>
        <x:v>-0.8094174226551775</x:v>
      </x:c>
    </x:row>
    <x:row r="146">
      <x:c r="A146" s="146" t="n">
        <x:v>2020</x:v>
      </x:c>
      <x:c r="B146" s="146" t="str">
        <x:v>Comercio y hotelería</x:v>
      </x:c>
      <x:c r="C146" s="204" t="n">
        <x:v>235558</x:v>
      </x:c>
      <x:c r="D146" s="176" t="n">
        <x:f>C146/SUMIF($A$6:$A$185,A146,$C$6:$C$185)</x:f>
        <x:v>0.13447601236075454</x:v>
      </x:c>
      <x:c r="E146" s="176" t="n">
        <x:f>(D146+D137)/2</x:f>
        <x:v>0.1330450691082163</x:v>
      </x:c>
      <x:c r="F146" s="170" t="n">
        <x:v>0.13304506910821626</x:v>
      </x:c>
      <x:c r="G146" s="210" t="n">
        <x:f>(F146-E146)*100</x:f>
        <x:v>-5.551115123125783e-15</x:v>
      </x:c>
      <x:c r="H146" s="167" t="n">
        <x:v>1.953203178637931</x:v>
      </x:c>
      <x:c r="I146" s="175" t="n">
        <x:f>F146*H146</x:f>
        <x:v>0.2598640518842712</x:v>
      </x:c>
    </x:row>
    <x:row r="147">
      <x:c r="A147" s="164" t="n">
        <x:v>2020</x:v>
      </x:c>
      <x:c r="B147" s="164" t="str">
        <x:v>Transporte y comunicaciones</x:v>
      </x:c>
      <x:c r="C147" s="203" t="n">
        <x:v>138908</x:v>
      </x:c>
      <x:c r="D147" s="174" t="n">
        <x:f>C147/SUMIF($A$6:$A$185,A147,$C$6:$C$185)</x:f>
        <x:v>0.07930018901929756</x:v>
      </x:c>
      <x:c r="E147" s="174" t="n">
        <x:f>(D147+D138)/2</x:f>
        <x:v>0.08275258206648088</x:v>
      </x:c>
      <x:c r="F147" s="169" t="n">
        <x:v>0.08275258206648115</x:v>
      </x:c>
      <x:c r="G147" s="209" t="n">
        <x:f>(F147-E147)*100</x:f>
        <x:v>2.6367796834847468e-14</x:v>
      </x:c>
      <x:c r="H147" s="166" t="n">
        <x:v>-1.071150570203915</x:v>
      </x:c>
      <x:c r="I147" s="173" t="n">
        <x:f>F147*H147</x:f>
        <x:v>-0.08864047546635755</x:v>
      </x:c>
    </x:row>
    <x:row r="148">
      <x:c r="A148" s="146" t="n">
        <x:v>2020</x:v>
      </x:c>
      <x:c r="B148" s="146" t="str">
        <x:v>Finanzas</x:v>
      </x:c>
      <x:c r="C148" s="204" t="n">
        <x:v>290451</x:v>
      </x:c>
      <x:c r="D148" s="176" t="n">
        <x:f>C148/SUMIF($A$6:$A$185,A148,$C$6:$C$185)</x:f>
        <x:v>0.16581348231091078</x:v>
      </x:c>
      <x:c r="E148" s="176" t="n">
        <x:f>(D148+D139)/2</x:f>
        <x:v>0.1604102473157993</x:v>
      </x:c>
      <x:c r="F148" s="170" t="n">
        <x:v>0.16040997812882507</x:v>
      </x:c>
      <x:c r="G148" s="210" t="n">
        <x:f>(F148-E148)*100</x:f>
        <x:v>-0.00002691869742388331</x:v>
      </x:c>
      <x:c r="H148" s="167" t="n">
        <x:v>0.6845146278142356</x:v>
      </x:c>
      <x:c r="I148" s="175" t="n">
        <x:f>F148*H148</x:f>
        <x:v>0.10980297647654236</x:v>
      </x:c>
    </x:row>
    <x:row r="149">
      <x:c r="A149" s="164" t="n">
        <x:v>2020</x:v>
      </x:c>
      <x:c r="B149" s="164" t="str">
        <x:v>Servicios sociales y personales</x:v>
      </x:c>
      <x:c r="C149" s="203" t="n">
        <x:v>316967</x:v>
      </x:c>
      <x:c r="D149" s="174" t="n">
        <x:f>C149/SUMIF($A$6:$A$185,A149,$C$6:$C$185)</x:f>
        <x:v>0.18095101083364304</x:v>
      </x:c>
      <x:c r="E149" s="174" t="n">
        <x:f>(D149+D140)/2</x:f>
        <x:v>0.1775609911243391</x:v>
      </x:c>
      <x:c r="F149" s="169" t="n">
        <x:v>0.17756045275038995</x:v>
      </x:c>
      <x:c r="G149" s="209" t="n">
        <x:f>(F149-E149)*100</x:f>
        <x:v>-0.00005383739491438</x:v>
      </x:c>
      <x:c r="H149" s="166" t="n">
        <x:v>2.264607604362762</x:v>
      </x:c>
      <x:c r="I149" s="173" t="n">
        <x:f>F149*H149</x:f>
        <x:v>0.402104751532628</x:v>
      </x:c>
    </x:row>
    <x:row r="150">
      <x:c r="A150" s="146" t="n">
        <x:v>2021</x:v>
      </x:c>
      <x:c r="B150" s="146" t="str">
        <x:v>Agropecuario</x:v>
      </x:c>
      <x:c r="C150" s="204" t="n">
        <x:v>145790</x:v>
      </x:c>
      <x:c r="D150" s="176" t="n">
        <x:f>C150/SUMIF($A$6:$A$185,A150,$C$6:$C$185)</x:f>
        <x:v>0.06812425819836827</x:v>
      </x:c>
      <x:c r="E150" s="176" t="n">
        <x:f>(D150+D141)/2</x:f>
        <x:v>0.06792775356219749</x:v>
      </x:c>
      <x:c r="F150" s="170" t="n">
        <x:v>0.06792466277735687</x:v>
      </x:c>
      <x:c r="G150" s="210" t="n">
        <x:f>(F150-E150)*100</x:f>
        <x:v>-0.00030907848406203087</x:v>
      </x:c>
      <x:c r="H150" s="167" t="n">
        <x:v>1.204753520687161</x:v>
      </x:c>
      <x:c r="I150" s="175" t="n">
        <x:f>F150*H150</x:f>
        <x:v>0.08183247662250884</x:v>
      </x:c>
    </x:row>
    <x:row r="151">
      <x:c r="A151" s="164" t="n">
        <x:v>2021</x:v>
      </x:c>
      <x:c r="B151" s="164" t="str">
        <x:v>Minería</x:v>
      </x:c>
      <x:c r="C151" s="203" t="n">
        <x:v>110593</x:v>
      </x:c>
      <x:c r="D151" s="174" t="n">
        <x:f>C151/SUMIF($A$6:$A$185,A151,$C$6:$C$185)</x:f>
        <x:v>0.05167752306010112</x:v>
      </x:c>
      <x:c r="E151" s="174" t="n">
        <x:f>(D151+D142)/2</x:f>
        <x:v>0.047587398404627036</x:v>
      </x:c>
      <x:c r="F151" s="169" t="n">
        <x:v>0.0475877123285182</x:v>
      </x:c>
      <x:c r="G151" s="209" t="n">
        <x:f>(F151-E151)*100</x:f>
        <x:v>0.000031392389116674524</x:v>
      </x:c>
      <x:c r="H151" s="166" t="n">
        <x:v>-2.474676532535527</x:v>
      </x:c>
      <x:c r="I151" s="173" t="n">
        <x:f>F151*H151</x:f>
        <x:v>-0.11776419493643557</x:v>
      </x:c>
    </x:row>
    <x:row r="152">
      <x:c r="A152" s="146" t="n">
        <x:v>2021</x:v>
      </x:c>
      <x:c r="B152" s="146" t="str">
        <x:v>Manufactura</x:v>
      </x:c>
      <x:c r="C152" s="204" t="n">
        <x:v>482516</x:v>
      </x:c>
      <x:c r="D152" s="176" t="n">
        <x:f>C152/SUMIF($A$6:$A$185,A152,$C$6:$C$185)</x:f>
        <x:v>0.2254684448099586</x:v>
      </x:c>
      <x:c r="E152" s="176" t="n">
        <x:f>(D152+D143)/2</x:f>
        <x:v>0.21911908990022527</x:v>
      </x:c>
      <x:c r="F152" s="170" t="n">
        <x:v>0.21911905769970016</x:v>
      </x:c>
      <x:c r="G152" s="210" t="n">
        <x:f>(F152-E152)*100</x:f>
        <x:v>-0.000003220052510743976</x:v>
      </x:c>
      <x:c r="H152" s="167" t="n">
        <x:v>3.971828176181219</x:v>
      </x:c>
      <x:c r="I152" s="175" t="n">
        <x:f>F152*H152</x:f>
        <x:v>0.8703032473099473</x:v>
      </x:c>
    </x:row>
    <x:row r="153">
      <x:c r="A153" s="164" t="n">
        <x:v>2021</x:v>
      </x:c>
      <x:c r="B153" s="164" t="str">
        <x:v>Servicios públicos</x:v>
      </x:c>
      <x:c r="C153" s="203" t="n">
        <x:v>80441</x:v>
      </x:c>
      <x:c r="D153" s="174" t="n">
        <x:f>C153/SUMIF($A$6:$A$185,A153,$C$6:$C$185)</x:f>
        <x:v>0.03758819846172537</x:v>
      </x:c>
      <x:c r="E153" s="174" t="n">
        <x:f>(D153+D144)/2</x:f>
        <x:v>0.039425233009827136</x:v>
      </x:c>
      <x:c r="F153" s="169" t="n">
        <x:v>0.03942546134572378</x:v>
      </x:c>
      <x:c r="G153" s="209" t="n">
        <x:f>(F153-E153)*100</x:f>
        <x:v>0.000022833589664178477</x:v>
      </x:c>
      <x:c r="H153" s="166" t="n">
        <x:v>1.474460386710647</x:v>
      </x:c>
      <x:c r="I153" s="173" t="n">
        <x:f>F153*H153</x:f>
        <x:v>0.058131280982061544</x:v>
      </x:c>
    </x:row>
    <x:row r="154">
      <x:c r="A154" s="146" t="n">
        <x:v>2021</x:v>
      </x:c>
      <x:c r="B154" s="146" t="str">
        <x:v>Construcción</x:v>
      </x:c>
      <x:c r="C154" s="204" t="n">
        <x:v>146372</x:v>
      </x:c>
      <x:c r="D154" s="176" t="n">
        <x:f>C154/SUMIF($A$6:$A$185,A154,$C$6:$C$185)</x:f>
        <x:v>0.06839621319028438</x:v>
      </x:c>
      <x:c r="E154" s="176" t="n">
        <x:f>(D154+D145)/2</x:f>
        <x:v>0.07129749672103898</x:v>
      </x:c>
      <x:c r="F154" s="170" t="n">
        <x:v>0.07129791220545306</x:v>
      </x:c>
      <x:c r="G154" s="210" t="n">
        <x:f>(F154-E154)*100</x:f>
        <x:v>0.00004154844140819014</x:v>
      </x:c>
      <x:c r="H154" s="167" t="n">
        <x:v>-2.709261822021173</x:v>
      </x:c>
      <x:c r="I154" s="175" t="n">
        <x:f>F154*H154</x:f>
        <x:v>-0.1931647115280514</x:v>
      </x:c>
    </x:row>
    <x:row r="155">
      <x:c r="A155" s="164" t="n">
        <x:v>2021</x:v>
      </x:c>
      <x:c r="B155" s="164" t="str">
        <x:v>Comercio y hotelería</x:v>
      </x:c>
      <x:c r="C155" s="203" t="n">
        <x:v>324432</x:v>
      </x:c>
      <x:c r="D155" s="174" t="n">
        <x:f>C155/SUMIF($A$6:$A$185,A155,$C$6:$C$185)</x:f>
        <x:v>0.15159948786482622</x:v>
      </x:c>
      <x:c r="E155" s="174" t="n">
        <x:f>(D155+D146)/2</x:f>
        <x:v>0.14303775011279038</x:v>
      </x:c>
      <x:c r="F155" s="169" t="n">
        <x:v>0.1430377364650371</x:v>
      </x:c>
      <x:c r="G155" s="209" t="n">
        <x:f>(F155-E155)*100</x:f>
        <x:v>-0.0000013647753288603681</x:v>
      </x:c>
      <x:c r="H155" s="166" t="n">
        <x:v>6.420836065770416</x:v>
      </x:c>
      <x:c r="I155" s="173" t="n">
        <x:f>F155*H155</x:f>
        <x:v>0.9184218570608743</x:v>
      </x:c>
    </x:row>
    <x:row r="156">
      <x:c r="A156" s="146" t="n">
        <x:v>2021</x:v>
      </x:c>
      <x:c r="B156" s="146" t="str">
        <x:v>Transporte y comunicaciones</x:v>
      </x:c>
      <x:c r="C156" s="204" t="n">
        <x:v>165469</x:v>
      </x:c>
      <x:c r="D156" s="176" t="n">
        <x:f>C156/SUMIF($A$6:$A$185,A156,$C$6:$C$185)</x:f>
        <x:v>0.0773197947721092</x:v>
      </x:c>
      <x:c r="E156" s="176" t="n">
        <x:f>(D156+D147)/2</x:f>
        <x:v>0.07830999189570337</x:v>
      </x:c>
      <x:c r="F156" s="170" t="n">
        <x:v>0.07831022794678064</x:v>
      </x:c>
      <x:c r="G156" s="210" t="n">
        <x:f>(F156-E156)*100</x:f>
        <x:v>0.00002360510772680957</x:v>
      </x:c>
      <x:c r="H156" s="167" t="n">
        <x:v>0.3587370035522532</x:v>
      </x:c>
      <x:c r="I156" s="175" t="n">
        <x:f>F156*H156</x:f>
        <x:v>0.028092776521122003</x:v>
      </x:c>
    </x:row>
    <x:row r="157">
      <x:c r="A157" s="164" t="n">
        <x:v>2021</x:v>
      </x:c>
      <x:c r="B157" s="164" t="str">
        <x:v>Finanzas</x:v>
      </x:c>
      <x:c r="C157" s="203" t="n">
        <x:v>315041</x:v>
      </x:c>
      <x:c r="D157" s="174" t="n">
        <x:f>C157/SUMIF($A$6:$A$185,A157,$C$6:$C$185)</x:f>
        <x:v>0.1472112931413138</x:v>
      </x:c>
      <x:c r="E157" s="174" t="n">
        <x:f>(D157+D148)/2</x:f>
        <x:v>0.15651238772611228</x:v>
      </x:c>
      <x:c r="F157" s="169" t="n">
        <x:v>0.15651328198611508</x:v>
      </x:c>
      <x:c r="G157" s="209" t="n">
        <x:f>(F157-E157)*100</x:f>
        <x:v>0.00008942600027983527</x:v>
      </x:c>
      <x:c r="H157" s="166" t="n">
        <x:v>-6.700988681017407</x:v>
      </x:c>
      <x:c r="I157" s="173" t="n">
        <x:f>F157*H157</x:f>
        <x:v>-1.0487937310178428</x:v>
      </x:c>
    </x:row>
    <x:row r="158">
      <x:c r="A158" s="146" t="n">
        <x:v>2021</x:v>
      </x:c>
      <x:c r="B158" s="146" t="str">
        <x:v>Servicios sociales y personales</x:v>
      </x:c>
      <x:c r="C158" s="204" t="n">
        <x:v>369406</x:v>
      </x:c>
      <x:c r="D158" s="176" t="n">
        <x:f>C158/SUMIF($A$6:$A$185,A158,$C$6:$C$185)</x:f>
        <x:v>0.17261478650131304</x:v>
      </x:c>
      <x:c r="E158" s="176" t="n">
        <x:f>(D158+D149)/2</x:f>
        <x:v>0.17678289866747804</x:v>
      </x:c>
      <x:c r="F158" s="170" t="n">
        <x:v>0.17678394724531565</x:v>
      </x:c>
      <x:c r="G158" s="210" t="n">
        <x:f>(F158-E158)*100</x:f>
        <x:v>0.00010485778376145838</x:v>
      </x:c>
      <x:c r="H158" s="167" t="n">
        <x:v>0.09759719797223987</x:v>
      </x:c>
      <x:c r="I158" s="175" t="n">
        <x:f>F158*H158</x:f>
        <x:v>0.017253617897615082</x:v>
      </x:c>
    </x:row>
    <x:row r="159">
      <x:c r="A159" s="164" t="n">
        <x:v>2022</x:v>
      </x:c>
      <x:c r="B159" s="164" t="str">
        <x:v>Agropecuario</x:v>
      </x:c>
      <x:c r="C159" s="203" t="n">
        <x:v>199185</x:v>
      </x:c>
      <x:c r="D159" s="174" t="n">
        <x:f>C159/SUMIF($A$6:$A$185,A159,$C$6:$C$185)</x:f>
        <x:v>0.07446822431129464</x:v>
      </x:c>
      <x:c r="E159" s="174" t="n">
        <x:f>(D159+D150)/2</x:f>
        <x:v>0.07129624125483146</x:v>
      </x:c>
      <x:c r="F159" s="169" t="n">
        <x:v>0.07129315046999224</x:v>
      </x:c>
      <x:c r="G159" s="209" t="n">
        <x:f>(F159-E159)*100</x:f>
        <x:v>-0.0003090784839218652</x:v>
      </x:c>
      <x:c r="H159" s="166" t="n">
        <x:v>-0.8934836504422696</x:v>
      </x:c>
      <x:c r="I159" s="173" t="n">
        <x:f>F159*H159</x:f>
        <x:v>-0.06369926433345868</x:v>
      </x:c>
    </x:row>
    <x:row r="160">
      <x:c r="A160" s="146" t="n">
        <x:v>2022</x:v>
      </x:c>
      <x:c r="B160" s="146" t="str">
        <x:v>Minería</x:v>
      </x:c>
      <x:c r="C160" s="204" t="n">
        <x:v>183283</x:v>
      </x:c>
      <x:c r="D160" s="176" t="n">
        <x:f>C160/SUMIF($A$6:$A$185,A160,$C$6:$C$185)</x:f>
        <x:v>0.06852302912592322</x:v>
      </x:c>
      <x:c r="E160" s="176" t="n">
        <x:f>(D160+D151)/2</x:f>
        <x:v>0.06010027609301217</x:v>
      </x:c>
      <x:c r="F160" s="170" t="n">
        <x:v>0.06010059001690361</x:v>
      </x:c>
      <x:c r="G160" s="210" t="n">
        <x:f>(F160-E160)*100</x:f>
        <x:v>0.0000313923891444301</x:v>
      </x:c>
      <x:c r="H160" s="167" t="n">
        <x:v>-1.176746730117744</x:v>
      </x:c>
      <x:c r="I160" s="175" t="n">
        <x:f>F160*H160</x:f>
        <x:v>-0.07072317278053847</x:v>
      </x:c>
    </x:row>
    <x:row r="161">
      <x:c r="A161" s="164" t="n">
        <x:v>2022</x:v>
      </x:c>
      <x:c r="B161" s="164" t="str">
        <x:v>Manufactura</x:v>
      </x:c>
      <x:c r="C161" s="203" t="n">
        <x:v>607923</x:v>
      </x:c>
      <x:c r="D161" s="174" t="n">
        <x:f>C161/SUMIF($A$6:$A$185,A161,$C$6:$C$185)</x:f>
        <x:v>0.2272809013128256</x:v>
      </x:c>
      <x:c r="E161" s="174" t="n">
        <x:f>(D161+D152)/2</x:f>
        <x:v>0.22637467306139208</x:v>
      </x:c>
      <x:c r="F161" s="169" t="n">
        <x:v>0.22637464086086873</x:v>
      </x:c>
      <x:c r="G161" s="209" t="n">
        <x:f>(F161-E161)*100</x:f>
        <x:v>-0.0000032200523358838495</x:v>
      </x:c>
      <x:c r="H161" s="166" t="n">
        <x:v>-0.5837025630257742</x:v>
      </x:c>
      <x:c r="I161" s="173" t="n">
        <x:f>F161*H161</x:f>
        <x:v>-0.13213545807452823</x:v>
      </x:c>
    </x:row>
    <x:row r="162">
      <x:c r="A162" s="146" t="n">
        <x:v>2022</x:v>
      </x:c>
      <x:c r="B162" s="146" t="str">
        <x:v>Servicios públicos</x:v>
      </x:c>
      <x:c r="C162" s="204" t="n">
        <x:v>98693</x:v>
      </x:c>
      <x:c r="D162" s="176" t="n">
        <x:f>C162/SUMIF($A$6:$A$185,A162,$C$6:$C$185)</x:f>
        <x:v>0.03689782093006302</x:v>
      </x:c>
      <x:c r="E162" s="176" t="n">
        <x:f>(D162+D153)/2</x:f>
        <x:v>0.0372430096958942</x:v>
      </x:c>
      <x:c r="F162" s="170" t="n">
        <x:v>0.037243238031789104</x:v>
      </x:c>
      <x:c r="G162" s="210" t="n">
        <x:f>(F162-E162)*100</x:f>
        <x:v>0.00002283358949070613</x:v>
      </x:c>
      <x:c r="H162" s="167" t="n">
        <x:v>1.372060406158591</x:v>
      </x:c>
      <x:c r="I162" s="175" t="n">
        <x:f>F162*H162</x:f>
        <x:v>0.05109997230055764</x:v>
      </x:c>
    </x:row>
    <x:row r="163">
      <x:c r="A163" s="164" t="n">
        <x:v>2022</x:v>
      </x:c>
      <x:c r="B163" s="164" t="str">
        <x:v>Construcción</x:v>
      </x:c>
      <x:c r="C163" s="203" t="n">
        <x:v>172207</x:v>
      </x:c>
      <x:c r="D163" s="174" t="n">
        <x:f>C163/SUMIF($A$6:$A$185,A163,$C$6:$C$185)</x:f>
        <x:v>0.0643821045961047</x:v>
      </x:c>
      <x:c r="E163" s="174" t="n">
        <x:f>(D163+D154)/2</x:f>
        <x:v>0.06638915889319455</x:v>
      </x:c>
      <x:c r="F163" s="169" t="n">
        <x:v>0.06638957437760729</x:v>
      </x:c>
      <x:c r="G163" s="209" t="n">
        <x:f>(F163-E163)*100</x:f>
        <x:v>0.0000415484412735756</x:v>
      </x:c>
      <x:c r="H163" s="166" t="n">
        <x:v>0.7594919834269636</x:v>
      </x:c>
      <x:c r="I163" s="173" t="n">
        <x:f>F163*H163</x:f>
        <x:v>0.05042234952292088</x:v>
      </x:c>
    </x:row>
    <x:row r="164">
      <x:c r="A164" s="146" t="n">
        <x:v>2022</x:v>
      </x:c>
      <x:c r="B164" s="146" t="str">
        <x:v>Comercio y hotelería</x:v>
      </x:c>
      <x:c r="C164" s="204" t="n">
        <x:v>425908</x:v>
      </x:c>
      <x:c r="D164" s="176" t="n">
        <x:f>C164/SUMIF($A$6:$A$185,A164,$C$6:$C$185)</x:f>
        <x:v>0.1592319325249134</x:v>
      </x:c>
      <x:c r="E164" s="176" t="n">
        <x:f>(D164+D155)/2</x:f>
        <x:v>0.15541571019486983</x:v>
      </x:c>
      <x:c r="F164" s="170" t="n">
        <x:v>0.15541569654711584</x:v>
      </x:c>
      <x:c r="G164" s="210" t="n">
        <x:f>(F164-E164)*100</x:f>
        <x:v>-0.0000013647753982493072</x:v>
      </x:c>
      <x:c r="H164" s="167" t="n">
        <x:v>0.5579108185024388</x:v>
      </x:c>
      <x:c r="I164" s="175" t="n">
        <x:f>F164*H164</x:f>
        <x:v>0.08670809846872805</x:v>
      </x:c>
    </x:row>
    <x:row r="165">
      <x:c r="A165" s="164" t="n">
        <x:v>2022</x:v>
      </x:c>
      <x:c r="B165" s="164" t="str">
        <x:v>Transporte y comunicaciones</x:v>
      </x:c>
      <x:c r="C165" s="203" t="n">
        <x:v>210621</x:v>
      </x:c>
      <x:c r="D165" s="174" t="n">
        <x:f>C165/SUMIF($A$6:$A$185,A165,$C$6:$C$185)</x:f>
        <x:v>0.07874374010427085</x:v>
      </x:c>
      <x:c r="E165" s="174" t="n">
        <x:f>(D165+D156)/2</x:f>
        <x:v>0.07803176743819001</x:v>
      </x:c>
      <x:c r="F165" s="169" t="n">
        <x:v>0.07803200348926764</x:v>
      </x:c>
      <x:c r="G165" s="209" t="n">
        <x:f>(F165-E165)*100</x:f>
        <x:v>0.00002360510776289182</x:v>
      </x:c>
      <x:c r="H165" s="166" t="n">
        <x:v>2.453327082308974</x:v>
      </x:c>
      <x:c r="I165" s="173" t="n">
        <x:f>F165*H165</x:f>
        <x:v>0.1914380274470487</x:v>
      </x:c>
    </x:row>
    <x:row r="166">
      <x:c r="A166" s="146" t="n">
        <x:v>2022</x:v>
      </x:c>
      <x:c r="B166" s="146" t="str">
        <x:v>Finanzas</x:v>
      </x:c>
      <x:c r="C166" s="204" t="n">
        <x:v>351436</x:v>
      </x:c>
      <x:c r="D166" s="176" t="n">
        <x:f>C166/SUMIF($A$6:$A$185,A166,$C$6:$C$185)</x:f>
        <x:v>0.1313894865530243</x:v>
      </x:c>
      <x:c r="E166" s="176" t="n">
        <x:f>(D166+D157)/2</x:f>
        <x:v>0.13930038984716903</x:v>
      </x:c>
      <x:c r="F166" s="170" t="n">
        <x:v>0.13930128410717157</x:v>
      </x:c>
      <x:c r="G166" s="210" t="n">
        <x:f>(F166-E166)*100</x:f>
        <x:v>0.00008942600025485525</x:v>
      </x:c>
      <x:c r="H166" s="167" t="n">
        <x:v>0.28125281628314</x:v>
      </x:c>
      <x:c r="I166" s="175" t="n">
        <x:f>F166*H166</x:f>
        <x:v>0.039178878466999814</x:v>
      </x:c>
    </x:row>
    <x:row r="167">
      <x:c r="A167" s="164" t="n">
        <x:v>2022</x:v>
      </x:c>
      <x:c r="B167" s="164" t="str">
        <x:v>Servicios sociales y personales</x:v>
      </x:c>
      <x:c r="C167" s="203" t="n">
        <x:v>425509</x:v>
      </x:c>
      <x:c r="D167" s="174" t="n">
        <x:f>C167/SUMIF($A$6:$A$185,A167,$C$6:$C$185)</x:f>
        <x:v>0.1590827605415803</x:v>
      </x:c>
      <x:c r="E167" s="174" t="n">
        <x:f>(D167+D158)/2</x:f>
        <x:v>0.16584877352144667</x:v>
      </x:c>
      <x:c r="F167" s="169" t="n">
        <x:v>0.1658498220992841</x:v>
      </x:c>
      <x:c r="G167" s="209" t="n">
        <x:f>(F167-E167)*100</x:f>
        <x:v>0.00010485778374202948</x:v>
      </x:c>
      <x:c r="H167" s="166" t="n">
        <x:v>-0.6500565364832234</x:v>
      </x:c>
      <x:c r="I167" s="173" t="n">
        <x:f>F167*H167</x:f>
        <x:v>-0.10781176093021937</x:v>
      </x:c>
    </x:row>
    <x:row r="168">
      <x:c r="A168" s="146" t="n">
        <x:v>2023</x:v>
      </x:c>
      <x:c r="B168" s="146" t="str">
        <x:v>Agropecuario</x:v>
      </x:c>
      <x:c r="C168" s="204" t="n">
        <x:v>211233</x:v>
      </x:c>
      <x:c r="D168" s="176" t="n">
        <x:f>C168/SUMIF($A$6:$A$185,A168,$C$6:$C$185)</x:f>
        <x:v>0.07437991211020029</x:v>
      </x:c>
      <x:c r="E168" s="176" t="n">
        <x:f>(D168+D159)/2</x:f>
        <x:v>0.07442406821074746</x:v>
      </x:c>
      <x:c r="F168" s="170" t="n">
        <x:v>0.07442406821074765</x:v>
      </x:c>
      <x:c r="G168" s="210" t="n">
        <x:f>(F168-E168)*100</x:f>
        <x:v>1.942890293094024e-14</x:v>
      </x:c>
      <x:c r="H168" s="167" t="n">
        <x:v>0.4196019054416946</x:v>
      </x:c>
      <x:c r="I168" s="175" t="n">
        <x:f>F168*H168</x:f>
        <x:v>0.031228480831952368</x:v>
      </x:c>
    </x:row>
    <x:row r="169">
      <x:c r="A169" s="164" t="n">
        <x:v>2023</x:v>
      </x:c>
      <x:c r="B169" s="164" t="str">
        <x:v>Minería</x:v>
      </x:c>
      <x:c r="C169" s="203" t="n">
        <x:v>153080</x:v>
      </x:c>
      <x:c r="D169" s="174" t="n">
        <x:f>C169/SUMIF($A$6:$A$185,A169,$C$6:$C$185)</x:f>
        <x:v>0.05390292684300966</x:v>
      </x:c>
      <x:c r="E169" s="174" t="n">
        <x:f>(D169+D160)/2</x:f>
        <x:v>0.06121297798446644</x:v>
      </x:c>
      <x:c r="F169" s="169" t="n">
        <x:v>0.061212977984466455</x:v>
      </x:c>
      <x:c r="G169" s="209" t="n">
        <x:f>(F169-E169)*100</x:f>
        <x:v>1.3877787807814457e-15</x:v>
      </x:c>
      <x:c r="H169" s="166" t="n">
        <x:v>-0.6001539964622307</x:v>
      </x:c>
      <x:c r="I169" s="173" t="n">
        <x:f>F169*H169</x:f>
        <x:v>-0.036737213372732086</x:v>
      </x:c>
    </x:row>
    <x:row r="170">
      <x:c r="A170" s="146" t="n">
        <x:v>2023</x:v>
      </x:c>
      <x:c r="B170" s="146" t="str">
        <x:v>Manufactura</x:v>
      </x:c>
      <x:c r="C170" s="204" t="n">
        <x:v>619942</x:v>
      </x:c>
      <x:c r="D170" s="176" t="n">
        <x:f>C170/SUMIF($A$6:$A$185,A170,$C$6:$C$185)</x:f>
        <x:v>0.21829558579114905</x:v>
      </x:c>
      <x:c r="E170" s="176" t="n">
        <x:f>(D170+D161)/2</x:f>
        <x:v>0.22278824355198734</x:v>
      </x:c>
      <x:c r="F170" s="170" t="n">
        <x:v>0.22278824355198745</x:v>
      </x:c>
      <x:c r="G170" s="210" t="n">
        <x:f>(F170-E170)*100</x:f>
        <x:v>1.1102230246251565e-14</x:v>
      </x:c>
      <x:c r="H170" s="167" t="n">
        <x:v>-1.039587191784061</x:v>
      </x:c>
      <x:c r="I170" s="175" t="n">
        <x:f>F170*H170</x:f>
        <x:v>-0.23160780447671406</x:v>
      </x:c>
    </x:row>
    <x:row r="171">
      <x:c r="A171" s="164" t="n">
        <x:v>2023</x:v>
      </x:c>
      <x:c r="B171" s="164" t="str">
        <x:v>Servicios públicos</x:v>
      </x:c>
      <x:c r="C171" s="203" t="n">
        <x:v>121509</x:v>
      </x:c>
      <x:c r="D171" s="174" t="n">
        <x:f>C171/SUMIF($A$6:$A$185,A171,$C$6:$C$185)</x:f>
        <x:v>0.04278606439618017</x:v>
      </x:c>
      <x:c r="E171" s="174" t="n">
        <x:f>(D171+D162)/2</x:f>
        <x:v>0.03984194266312159</x:v>
      </x:c>
      <x:c r="F171" s="169" t="n">
        <x:v>0.03984194266312166</x:v>
      </x:c>
      <x:c r="G171" s="209" t="n">
        <x:f>(F171-E171)*100</x:f>
        <x:v>6.938893903907228e-15</x:v>
      </x:c>
      <x:c r="H171" s="166" t="n">
        <x:v>0.3562460571739474</x:v>
      </x:c>
      <x:c r="I171" s="173" t="n">
        <x:f>F171*H171</x:f>
        <x:v>0.014193534983887575</x:v>
      </x:c>
    </x:row>
    <x:row r="172">
      <x:c r="A172" s="146" t="n">
        <x:v>2023</x:v>
      </x:c>
      <x:c r="B172" s="146" t="str">
        <x:v>Construcción</x:v>
      </x:c>
      <x:c r="C172" s="204" t="n">
        <x:v>185790</x:v>
      </x:c>
      <x:c r="D172" s="176" t="n">
        <x:f>C172/SUMIF($A$6:$A$185,A172,$C$6:$C$185)</x:f>
        <x:v>0.0654208569255472</x:v>
      </x:c>
      <x:c r="E172" s="176" t="n">
        <x:f>(D172+D163)/2</x:f>
        <x:v>0.06490148076082594</x:v>
      </x:c>
      <x:c r="F172" s="170" t="n">
        <x:v>0.06490148076082608</x:v>
      </x:c>
      <x:c r="G172" s="210" t="n">
        <x:f>(F172-E172)*100</x:f>
        <x:v>1.3877787807814457e-14</x:v>
      </x:c>
      <x:c r="H172" s="167" t="n">
        <x:v>-1.415255627508405</x:v>
      </x:c>
      <x:c r="I172" s="175" t="n">
        <x:f>F172*H172</x:f>
        <x:v>-0.09185218588038759</x:v>
      </x:c>
    </x:row>
    <x:row r="173">
      <x:c r="A173" s="164" t="n">
        <x:v>2023</x:v>
      </x:c>
      <x:c r="B173" s="164" t="str">
        <x:v>Comercio y hotelería</x:v>
      </x:c>
      <x:c r="C173" s="203" t="n">
        <x:v>440124</x:v>
      </x:c>
      <x:c r="D173" s="174" t="n">
        <x:f>C173/SUMIF($A$6:$A$185,A173,$C$6:$C$185)</x:f>
        <x:v>0.15497760500295782</x:v>
      </x:c>
      <x:c r="E173" s="174" t="n">
        <x:f>(D173+D164)/2</x:f>
        <x:v>0.15710476876393561</x:v>
      </x:c>
      <x:c r="F173" s="169" t="n">
        <x:v>0.15710476876393561</x:v>
      </x:c>
      <x:c r="G173" s="209" t="n">
        <x:f>(F173-E173)*100</x:f>
        <x:v>0</x:v>
      </x:c>
      <x:c r="H173" s="166" t="n">
        <x:v>-3.489136011462874</x:v>
      </x:c>
      <x:c r="I173" s="173" t="n">
        <x:f>F173*H173</x:f>
        <x:v>-0.5481599062667954</x:v>
      </x:c>
    </x:row>
    <x:row r="174">
      <x:c r="A174" s="146" t="n">
        <x:v>2023</x:v>
      </x:c>
      <x:c r="B174" s="146" t="str">
        <x:v>Transporte y comunicaciones</x:v>
      </x:c>
      <x:c r="C174" s="204" t="n">
        <x:v>229455</x:v>
      </x:c>
      <x:c r="D174" s="176" t="n">
        <x:f>C174/SUMIF($A$6:$A$185,A174,$C$6:$C$185)</x:f>
        <x:v>0.08079629003633905</x:v>
      </x:c>
      <x:c r="E174" s="176" t="n">
        <x:f>(D174+D165)/2</x:f>
        <x:v>0.07977001507030496</x:v>
      </x:c>
      <x:c r="F174" s="170" t="n">
        <x:v>0.0797700150703049</x:v>
      </x:c>
      <x:c r="G174" s="210" t="n">
        <x:f>(F174-E174)*100</x:f>
        <x:v>-5.551115123125783e-15</x:v>
      </x:c>
      <x:c r="H174" s="167" t="n">
        <x:v>-2.502589639302834</x:v>
      </x:c>
      <x:c r="I174" s="175" t="n">
        <x:f>F174*H174</x:f>
        <x:v>-0.19963161324197598</x:v>
      </x:c>
    </x:row>
    <x:row r="175">
      <x:c r="A175" s="164" t="n">
        <x:v>2023</x:v>
      </x:c>
      <x:c r="B175" s="164" t="str">
        <x:v>Finanzas</x:v>
      </x:c>
      <x:c r="C175" s="203" t="n">
        <x:v>384207</x:v>
      </x:c>
      <x:c r="D175" s="174" t="n">
        <x:f>C175/SUMIF($A$6:$A$185,A175,$C$6:$C$185)</x:f>
        <x:v>0.1352879658581932</x:v>
      </x:c>
      <x:c r="E175" s="174" t="n">
        <x:f>(D175+D166)/2</x:f>
        <x:v>0.13333872620560874</x:v>
      </x:c>
      <x:c r="F175" s="169" t="n">
        <x:v>0.13333872620560866</x:v>
      </x:c>
      <x:c r="G175" s="209" t="n">
        <x:f>(F175-E175)*100</x:f>
        <x:v>-8.326672684688674e-15</x:v>
      </x:c>
      <x:c r="H175" s="166" t="n">
        <x:v>-0.1634304909659878</x:v>
      </x:c>
      <x:c r="I175" s="173" t="n">
        <x:f>F175*H175</x:f>
        <x:v>-0.021791613488562046</x:v>
      </x:c>
    </x:row>
    <x:row r="176">
      <x:c r="A176" s="146" t="n">
        <x:v>2023</x:v>
      </x:c>
      <x:c r="B176" s="146" t="str">
        <x:v>Servicios sociales y personales</x:v>
      </x:c>
      <x:c r="C176" s="204" t="n">
        <x:v>494580</x:v>
      </x:c>
      <x:c r="D176" s="176" t="n">
        <x:f>C176/SUMIF($A$6:$A$185,A176,$C$6:$C$185)</x:f>
        <x:v>0.17415279303642356</x:v>
      </x:c>
      <x:c r="E176" s="176" t="n">
        <x:f>(D176+D167)/2</x:f>
        <x:v>0.16661777678900191</x:v>
      </x:c>
      <x:c r="F176" s="170" t="n">
        <x:v>0.16661777678900183</x:v>
      </x:c>
      <x:c r="G176" s="210" t="n">
        <x:f>(F176-E176)*100</x:f>
        <x:v>-8.326672684688674e-15</x:v>
      </x:c>
      <x:c r="H176" s="167" t="n">
        <x:v>3.47272225290181</x:v>
      </x:c>
      <x:c r="I176" s="175" t="n">
        <x:f>F176*H176</x:f>
        <x:v>0.5786172611841933</x:v>
      </x:c>
    </x:row>
    <x:row r="177">
      <x:c r="A177" s="164" t="n">
        <x:v>2024</x:v>
      </x:c>
      <x:c r="B177" s="164" t="str">
        <x:v>Agropecuario</x:v>
      </x:c>
      <x:c r="C177" s="203" t="n">
        <x:v>235666</x:v>
      </x:c>
      <x:c r="D177" s="174" t="n">
        <x:f>C177/SUMIF($A$6:$A$185,A177,$C$6:$C$185)</x:f>
        <x:v>0.07820699935819195</x:v>
      </x:c>
      <x:c r="E177" s="174" t="n">
        <x:f>(D177+D168)/2</x:f>
        <x:v>0.07629345573419612</x:v>
      </x:c>
      <x:c r="F177" s="169" t="n">
        <x:v>0.07629345573419605</x:v>
      </x:c>
      <x:c r="G177" s="209" t="n">
        <x:f>(F177-E177)*100</x:f>
        <x:v>-6.938893903907228e-15</x:v>
      </x:c>
      <x:c r="H177" s="166" t="n">
        <x:v>3.80223132133859</x:v>
      </x:c>
      <x:c r="I177" s="173" t="n">
        <x:f>F177*H177</x:f>
        <x:v>0.29008536700571946</x:v>
      </x:c>
    </x:row>
    <x:row r="178">
      <x:c r="A178" s="146" t="n">
        <x:v>2024</x:v>
      </x:c>
      <x:c r="B178" s="146" t="str">
        <x:v>Minería</x:v>
      </x:c>
      <x:c r="C178" s="204" t="n">
        <x:v>134302</x:v>
      </x:c>
      <x:c r="D178" s="176" t="n">
        <x:f>C178/SUMIF($A$6:$A$185,A178,$C$6:$C$185)</x:f>
        <x:v>0.04456882379216304</x:v>
      </x:c>
      <x:c r="E178" s="176" t="n">
        <x:f>(D178+D169)/2</x:f>
        <x:v>0.049235875317586345</x:v>
      </x:c>
      <x:c r="F178" s="170" t="n">
        <x:v>0.04923587531758655</x:v>
      </x:c>
      <x:c r="G178" s="210" t="n">
        <x:f>(F178-E178)*100</x:f>
        <x:v>2.0816681711721685e-14</x:v>
      </x:c>
      <x:c r="H178" s="167" t="n">
        <x:v>-2.330699844728882</x:v>
      </x:c>
      <x:c r="I178" s="175" t="n">
        <x:f>F178*H178</x:f>
        <x:v>-0.11475404695778957</x:v>
      </x:c>
    </x:row>
    <x:row r="179">
      <x:c r="A179" s="164" t="n">
        <x:v>2024</x:v>
      </x:c>
      <x:c r="B179" s="164" t="str">
        <x:v>Manufactura</x:v>
      </x:c>
      <x:c r="C179" s="203" t="n">
        <x:v>625941</x:v>
      </x:c>
      <x:c r="D179" s="174" t="n">
        <x:f>C179/SUMIF($A$6:$A$185,A179,$C$6:$C$185)</x:f>
        <x:v>0.20772180707130442</x:v>
      </x:c>
      <x:c r="E179" s="174" t="n">
        <x:f>(D179+D170)/2</x:f>
        <x:v>0.21300869643122672</x:v>
      </x:c>
      <x:c r="F179" s="169" t="n">
        <x:v>0.21300869643122544</x:v>
      </x:c>
      <x:c r="G179" s="209" t="n">
        <x:f>(F179-E179)*100</x:f>
        <x:v>-1.27675647831893e-13</x:v>
      </x:c>
      <x:c r="H179" s="166" t="n">
        <x:v>-1.195620071694396</x:v>
      </x:c>
      <x:c r="I179" s="173" t="n">
        <x:f>F179*H179</x:f>
        <x:v>-0.25467747289863163</x:v>
      </x:c>
    </x:row>
    <x:row r="180">
      <x:c r="A180" s="146" t="n">
        <x:v>2024</x:v>
      </x:c>
      <x:c r="B180" s="146" t="str">
        <x:v>Servicios públicos</x:v>
      </x:c>
      <x:c r="C180" s="204" t="n">
        <x:v>138690</x:v>
      </x:c>
      <x:c r="D180" s="176" t="n">
        <x:f>C180/SUMIF($A$6:$A$185,A180,$C$6:$C$185)</x:f>
        <x:v>0.046025004629380736</x:v>
      </x:c>
      <x:c r="E180" s="176" t="n">
        <x:f>(D180+D171)/2</x:f>
        <x:v>0.044405534512780453</x:v>
      </x:c>
      <x:c r="F180" s="170" t="n">
        <x:v>0.04440553451277984</x:v>
      </x:c>
      <x:c r="G180" s="210" t="n">
        <x:f>(F180-E180)*100</x:f>
        <x:v>-6.106226635438361e-14</x:v>
      </x:c>
      <x:c r="H180" s="167" t="n">
        <x:v>0.9377115268507139</x:v>
      </x:c>
      <x:c r="I180" s="175" t="n">
        <x:f>F180*H180</x:f>
        <x:v>0.041639581568600856</x:v>
      </x:c>
    </x:row>
    <x:row r="181">
      <x:c r="A181" s="164" t="n">
        <x:v>2024</x:v>
      </x:c>
      <x:c r="B181" s="164" t="str">
        <x:v>Construcción</x:v>
      </x:c>
      <x:c r="C181" s="203" t="n">
        <x:v>200587</x:v>
      </x:c>
      <x:c r="D181" s="174" t="n">
        <x:f>C181/SUMIF($A$6:$A$185,A181,$C$6:$C$185)</x:f>
        <x:v>0.0665658490417016</x:v>
      </x:c>
      <x:c r="E181" s="174" t="n">
        <x:f>(D181+D172)/2</x:f>
        <x:v>0.0659933529836244</x:v>
      </x:c>
      <x:c r="F181" s="169" t="n">
        <x:v>0.06599335298362496</x:v>
      </x:c>
      <x:c r="G181" s="209" t="n">
        <x:f>(F181-E181)*100</x:f>
        <x:v>5.689893001203927e-14</x:v>
      </x:c>
      <x:c r="H181" s="166" t="n">
        <x:v>0.5336129650584118</x:v>
      </x:c>
      <x:c r="I181" s="173" t="n">
        <x:f>F181*H181</x:f>
        <x:v>0.035214908759738504</x:v>
      </x:c>
    </x:row>
    <x:row r="182">
      <x:c r="A182" s="146" t="n">
        <x:v>2024</x:v>
      </x:c>
      <x:c r="B182" s="146" t="str">
        <x:v>Comercio y hotelería</x:v>
      </x:c>
      <x:c r="C182" s="204" t="n">
        <x:v>463741</x:v>
      </x:c>
      <x:c r="D182" s="176" t="n">
        <x:f>C182/SUMIF($A$6:$A$185,A182,$C$6:$C$185)</x:f>
        <x:v>0.15389488551325728</x:v>
      </x:c>
      <x:c r="E182" s="176" t="n">
        <x:f>(D182+D173)/2</x:f>
        <x:v>0.15443624525810756</x:v>
      </x:c>
      <x:c r="F182" s="170" t="n">
        <x:v>0.15443624525810828</x:v>
      </x:c>
      <x:c r="G182" s="210" t="n">
        <x:f>(F182-E182)*100</x:f>
        <x:v>7.216449660063518e-14</x:v>
      </x:c>
      <x:c r="H182" s="167" t="n">
        <x:v>-0.09326703363218547</x:v>
      </x:c>
      <x:c r="I182" s="175" t="n">
        <x:f>F182*H182</x:f>
        <x:v>-0.01440381048051643</x:v>
      </x:c>
    </x:row>
    <x:row r="183">
      <x:c r="A183" s="164" t="n">
        <x:v>2024</x:v>
      </x:c>
      <x:c r="B183" s="164" t="str">
        <x:v>Transporte y comunicaciones</x:v>
      </x:c>
      <x:c r="C183" s="203" t="n">
        <x:v>240640</x:v>
      </x:c>
      <x:c r="D183" s="174" t="n">
        <x:f>C183/SUMIF($A$6:$A$185,A183,$C$6:$C$185)</x:f>
        <x:v>0.07985764737193872</x:v>
      </x:c>
      <x:c r="E183" s="174" t="n">
        <x:f>(D183+D174)/2</x:f>
        <x:v>0.08032696870413888</x:v>
      </x:c>
      <x:c r="F183" s="169" t="n">
        <x:v>0.08032696870413869</x:v>
      </x:c>
      <x:c r="G183" s="209" t="n">
        <x:f>(F183-E183)*100</x:f>
        <x:v>-1.942890293094024e-14</x:v>
      </x:c>
      <x:c r="H183" s="166" t="n">
        <x:v>1.149510533655444</x:v>
      </x:c>
      <x:c r="I183" s="173" t="n">
        <x:f>F183*H183</x:f>
        <x:v>0.09233669666201862</x:v>
      </x:c>
    </x:row>
    <x:row r="184">
      <x:c r="A184" s="146" t="n">
        <x:v>2024</x:v>
      </x:c>
      <x:c r="B184" s="146" t="str">
        <x:v>Finanzas</x:v>
      </x:c>
      <x:c r="C184" s="204" t="n">
        <x:v>418982</x:v>
      </x:c>
      <x:c r="D184" s="176" t="n">
        <x:f>C184/SUMIF($A$6:$A$185,A184,$C$6:$C$185)</x:f>
        <x:v>0.1390413763762867</x:v>
      </x:c>
      <x:c r="E184" s="176" t="n">
        <x:f>(D184+D175)/2</x:f>
        <x:v>0.13716467111723996</x:v>
      </x:c>
      <x:c r="F184" s="170" t="n">
        <x:v>0.1371646711172403</x:v>
      </x:c>
      <x:c r="G184" s="210" t="n">
        <x:f>(F184-E184)*100</x:f>
        <x:v>3.3306690738754696e-14</x:v>
      </x:c>
      <x:c r="H184" s="167" t="n">
        <x:v>0.4076931953080921</x:v>
      </x:c>
      <x:c r="I184" s="175" t="n">
        <x:f>F184*H184</x:f>
        <x:v>0.05592110305117127</x:v>
      </x:c>
    </x:row>
    <x:row r="185">
      <x:c r="A185" s="164" t="n">
        <x:v>2024</x:v>
      </x:c>
      <x:c r="B185" s="164" t="str">
        <x:v>Servicios sociales y personales</x:v>
      </x:c>
      <x:c r="C185" s="203" t="n">
        <x:v>554813</x:v>
      </x:c>
      <x:c r="D185" s="174" t="n">
        <x:f>C185/SUMIF($A$6:$A$185,A185,$C$6:$C$185)</x:f>
        <x:v>0.18411760684577558</x:v>
      </x:c>
      <x:c r="E185" s="174" t="n">
        <x:f>(D185+D176)/2</x:f>
        <x:v>0.17913519994109955</x:v>
      </x:c>
      <x:c r="F185" s="169" t="n">
        <x:v>0.17913519994109964</x:v>
      </x:c>
      <x:c r="G185" s="209" t="n">
        <x:f>(F185-E185)*100</x:f>
        <x:v>8.326672684688674e-15</x:v>
      </x:c>
      <x:c r="H185" s="166" t="n">
        <x:v>2.744973157275121</x:v>
      </x:c>
      <x:c r="I185" s="173" t="n">
        <x:f>F185*H185</x:f>
        <x:v>0.4917213153614303</x:v>
      </x:c>
    </x:row>
  </x:sheetData>
  <x:mergeCells>
    <x:mergeCell ref="A1:M1"/>
    <x:mergeCell ref="A2:M2"/>
  </x:mergeCells>
  <x:conditionalFormatting sqref="I6:I185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3.75" hidden="0" customWidth="1"/>
    <x:col min="3" max="3" width="16.8799991607666" hidden="0" customWidth="1"/>
    <x:col min="4" max="4" width="15" hidden="0" customWidth="1"/>
    <x:col min="5" max="5" width="15.630000114440918" hidden="0" customWidth="1"/>
    <x:col min="6" max="6" width="15.630000114440918" hidden="0" customWidth="1"/>
    <x:col min="7" max="7" width="10" hidden="0" customWidth="1"/>
    <x:col min="8" max="8" width="2.5" hidden="0" customWidth="1"/>
    <x:col min="9" max="9" width="26.8799991607666" hidden="0" customWidth="1"/>
    <x:col min="10" max="10" width="11.880000114440918" hidden="0" customWidth="1"/>
    <x:col min="11" max="11" width="14.380000114440918" hidden="0" customWidth="1"/>
    <x:col min="12" max="12" width="13.75" hidden="0" customWidth="1"/>
    <x:col min="13" max="13" width="2.5" hidden="0" customWidth="1"/>
    <x:col min="14" max="14" width="8.130000114440918" hidden="0" customWidth="1"/>
    <x:col min="15" max="15" width="15" hidden="0" customWidth="1"/>
    <x:col min="16" max="16" width="16.25" hidden="0" customWidth="1"/>
    <x:col min="17" max="17" width="13.130000114440918" hidden="0" customWidth="1"/>
  </x:cols>
  <x:sheetData>
    <x:row r="1" ht="25.5" customHeight="1">
      <x:c r="A1" s="130" t="str">
        <x:v>Contribuciones de las actividades a la PTF y al crecimiento de la producción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</x:row>
    <x:row r="2" ht="22.5" customHeight="1">
      <x:c r="A2" s="134" t="str">
        <x:v>La contribución anual es el peso implícito exacto multiplicado por la tasa de crecimiento de la PTF de cada actividad. Las nueve contribuciones suman la PTF total.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  <x:c r="Q2" s="134"/>
    </x:row>
    <x:row r="5" ht="25.5" customHeight="1">
      <x:c r="A5" s="140" t="str">
        <x:v>Actividad</x:v>
      </x:c>
      <x:c r="B5" s="140" t="str">
        <x:v>Peso promedio (%)</x:v>
      </x:c>
      <x:c r="C5" s="140" t="str">
        <x:v>Crecimiento acumulado PTF (%)</x:v>
      </x:c>
      <x:c r="D5" s="140" t="str">
        <x:v>Tasa anualizada PTF (%)</x:v>
      </x:c>
      <x:c r="E5" s="140" t="str">
        <x:v>Contribución acumulada (pp)</x:v>
      </x:c>
      <x:c r="F5" s="140" t="str">
        <x:v>Contribución anualizada (pp)</x:v>
      </x:c>
      <x:c r="G5" s="140" t="str">
        <x:v>Signo</x:v>
      </x:c>
      <x:c r="I5" s="140" t="str">
        <x:v>Paso de la cascada</x:v>
      </x:c>
      <x:c r="J5" s="140" t="str">
        <x:v>Tipo</x:v>
      </x:c>
      <x:c r="K5" s="140" t="str">
        <x:v>Aporte/nivel (pp)</x:v>
      </x:c>
      <x:c r="L5" s="140" t="str">
        <x:v>Resultado (%)</x:v>
      </x:c>
      <x:c r="N5" s="140" t="str">
        <x:v>Año</x:v>
      </x:c>
      <x:c r="O5" s="140" t="str">
        <x:v>Producción total (%)</x:v>
      </x:c>
      <x:c r="P5" s="140" t="str">
        <x:v>Contribución factores (pp)</x:v>
      </x:c>
      <x:c r="Q5" s="140" t="str">
        <x:v>PTF total (%)</x:v>
      </x:c>
    </x:row>
    <x:row r="6">
      <x:c r="A6" s="145" t="str">
        <x:v>Agropecuario</x:v>
      </x:c>
      <x:c r="B6" s="172" t="n">
        <x:f>AVERAGEIF('CJC Pesos VBP'!$B$6:$B$185,A6,'CJC Pesos VBP'!$F$6:$F$185)</x:f>
        <x:v>0.06111395756281176</x:v>
      </x:c>
      <x:c r="C6" s="172" t="n">
        <x:f>'CJC PTF actividad'!N13</x:f>
        <x:v>0.21842316702846487</x:v>
      </x:c>
      <x:c r="D6" s="171" t="n">
        <x:f>'CJC PTF actividad'!O13</x:f>
        <x:v>0.98778768361216</x:v>
      </x:c>
      <x:c r="E6" s="171" t="n">
        <x:f>SUMIF('CJC Pesos VBP'!$B$6:$B$185,A6,'CJC Pesos VBP'!$I$6:$I$185)</x:f>
        <x:v>1.1267876757884907</x:v>
      </x:c>
      <x:c r="F6" s="171" t="n">
        <x:f>AVERAGEIF('CJC Pesos VBP'!$B$6:$B$185,A6,'CJC Pesos VBP'!$I$6:$I$185)</x:f>
        <x:v>0.05633938378942453</x:v>
      </x:c>
      <x:c r="G6" s="212" t="str">
        <x:f>IF(F6&lt;0,"Negativa","Positiva")</x:f>
        <x:v>Positiva</x:v>
      </x:c>
      <x:c r="I6" s="145" t="str">
        <x:v>Crecimiento sin PTF</x:v>
      </x:c>
      <x:c r="J6" s="145" t="str">
        <x:v>Total</x:v>
      </x:c>
      <x:c r="K6" s="171" t="n">
        <x:f>AVERAGE(P6:P25)</x:f>
        <x:v>3.3313384364473335</x:v>
      </x:c>
      <x:c r="L6" s="171" t="n">
        <x:f>K6</x:f>
        <x:v>3.3313384364473335</x:v>
      </x:c>
      <x:c r="N6" s="159" t="n">
        <x:v>2005</x:v>
      </x:c>
      <x:c r="O6" s="219" t="n">
        <x:v>5.266710463048241</x:v>
      </x:c>
      <x:c r="P6" s="219" t="n">
        <x:v>5.193499112788782</x:v>
      </x:c>
      <x:c r="Q6" s="219" t="n">
        <x:v>0.07321135025945857</x:v>
      </x:c>
    </x:row>
    <x:row r="7">
      <x:c r="A7" s="164" t="str">
        <x:v>Minería</x:v>
      </x:c>
      <x:c r="B7" s="174" t="n">
        <x:f>AVERAGEIF('CJC Pesos VBP'!$B$6:$B$185,A7,'CJC Pesos VBP'!$F$6:$F$185)</x:f>
        <x:v>0.060812389672152134</x:v>
      </x:c>
      <x:c r="C7" s="174" t="n">
        <x:f>'CJC PTF actividad'!N6</x:f>
        <x:v>-0.3208605180394799</x:v>
      </x:c>
      <x:c r="D7" s="173" t="n">
        <x:f>'CJC PTF actividad'!O6</x:f>
        <x:v>-1.9346437494875537</x:v>
      </x:c>
      <x:c r="E7" s="173" t="n">
        <x:f>SUMIF('CJC Pesos VBP'!$B$6:$B$185,A7,'CJC Pesos VBP'!$I$6:$I$185)</x:f>
        <x:v>-2.296744876229911</x:v>
      </x:c>
      <x:c r="F7" s="173" t="n">
        <x:f>AVERAGEIF('CJC Pesos VBP'!$B$6:$B$185,A7,'CJC Pesos VBP'!$I$6:$I$185)</x:f>
        <x:v>-0.11483724381149556</x:v>
      </x:c>
      <x:c r="G7" s="213" t="str">
        <x:f>IF(F7&lt;0,"Negativa","Positiva")</x:f>
        <x:v>Negativa</x:v>
      </x:c>
      <x:c r="I7" s="146" t="str">
        <x:v>Agropecuario</x:v>
      </x:c>
      <x:c r="J7" s="146" t="str">
        <x:v>Aumento</x:v>
      </x:c>
      <x:c r="K7" s="175" t="n">
        <x:f>F6</x:f>
        <x:v>0.05633938378942453</x:v>
      </x:c>
      <x:c r="L7" s="175" t="n">
        <x:f>L6+K7</x:f>
        <x:v>3.387677820236758</x:v>
      </x:c>
      <x:c r="N7" s="217" t="n">
        <x:v>2006</x:v>
      </x:c>
      <x:c r="O7" s="220" t="n">
        <x:v>6.538878085128862</x:v>
      </x:c>
      <x:c r="P7" s="220" t="n">
        <x:v>4.3328816737205385</x:v>
      </x:c>
      <x:c r="Q7" s="220" t="n">
        <x:v>2.205996411408322</x:v>
      </x:c>
    </x:row>
    <x:row r="8">
      <x:c r="A8" s="146" t="str">
        <x:v>Manufactura</x:v>
      </x:c>
      <x:c r="B8" s="176" t="n">
        <x:f>AVERAGEIF('CJC Pesos VBP'!$B$6:$B$185,A8,'CJC Pesos VBP'!$F$6:$F$185)</x:f>
        <x:v>0.23426094631934918</x:v>
      </x:c>
      <x:c r="C8" s="176" t="n">
        <x:f>'CJC PTF actividad'!N10</x:f>
        <x:v>-0.05151134514979072</x:v>
      </x:c>
      <x:c r="D8" s="175" t="n">
        <x:f>'CJC PTF actividad'!O10</x:f>
        <x:v>-0.26442725413783064</x:v>
      </x:c>
      <x:c r="E8" s="175" t="n">
        <x:f>SUMIF('CJC Pesos VBP'!$B$6:$B$185,A8,'CJC Pesos VBP'!$I$6:$I$185)</x:f>
        <x:v>-1.155420761421892</x:v>
      </x:c>
      <x:c r="F8" s="175" t="n">
        <x:f>AVERAGEIF('CJC Pesos VBP'!$B$6:$B$185,A8,'CJC Pesos VBP'!$I$6:$I$185)</x:f>
        <x:v>-0.057771038071094606</x:v>
      </x:c>
      <x:c r="G8" s="160" t="str">
        <x:f>IF(F8&lt;0,"Negativa","Positiva")</x:f>
        <x:v>Negativa</x:v>
      </x:c>
      <x:c r="I8" s="146" t="str">
        <x:v>Comercio y hotelería</x:v>
      </x:c>
      <x:c r="J8" s="146" t="str">
        <x:v>Aumento</x:v>
      </x:c>
      <x:c r="K8" s="175" t="n">
        <x:f>F11</x:f>
        <x:v>0.13011706667735695</x:v>
      </x:c>
      <x:c r="L8" s="175" t="n">
        <x:f>L7+K8</x:f>
        <x:v>3.517794886914115</x:v>
      </x:c>
      <x:c r="N8" s="218" t="n">
        <x:v>2007</x:v>
      </x:c>
      <x:c r="O8" s="221" t="n">
        <x:v>6.108052561914324</x:v>
      </x:c>
      <x:c r="P8" s="221" t="n">
        <x:v>7.494803973233844</x:v>
      </x:c>
      <x:c r="Q8" s="221" t="n">
        <x:v>-1.386751411319521</x:v>
      </x:c>
    </x:row>
    <x:row r="9">
      <x:c r="A9" s="164" t="str">
        <x:v>Servicios públicos</x:v>
      </x:c>
      <x:c r="B9" s="174" t="n">
        <x:f>AVERAGEIF('CJC Pesos VBP'!$B$6:$B$185,A9,'CJC Pesos VBP'!$F$6:$F$185)</x:f>
        <x:v>0.034241988123536855</x:v>
      </x:c>
      <x:c r="C9" s="174" t="n">
        <x:f>'CJC PTF actividad'!N9</x:f>
        <x:v>-0.05527701252750761</x:v>
      </x:c>
      <x:c r="D9" s="173" t="n">
        <x:f>'CJC PTF actividad'!O9</x:f>
        <x:v>-0.2843176470529272</x:v>
      </x:c>
      <x:c r="E9" s="173" t="n">
        <x:f>SUMIF('CJC Pesos VBP'!$B$6:$B$185,A9,'CJC Pesos VBP'!$I$6:$I$185)</x:f>
        <x:v>-0.15837897964723918</x:v>
      </x:c>
      <x:c r="F9" s="173" t="n">
        <x:f>AVERAGEIF('CJC Pesos VBP'!$B$6:$B$185,A9,'CJC Pesos VBP'!$I$6:$I$185)</x:f>
        <x:v>-0.00791894898236196</x:v>
      </x:c>
      <x:c r="G9" s="213" t="str">
        <x:f>IF(F9&lt;0,"Negativa","Positiva")</x:f>
        <x:v>Negativa</x:v>
      </x:c>
      <x:c r="I9" s="146" t="str">
        <x:v>Transporte y comunicaciones</x:v>
      </x:c>
      <x:c r="J9" s="146" t="str">
        <x:v>Aumento</x:v>
      </x:c>
      <x:c r="K9" s="175" t="n">
        <x:f>F12</x:f>
        <x:v>0.016957551893450863</x:v>
      </x:c>
      <x:c r="L9" s="175" t="n">
        <x:f>L8+K9</x:f>
        <x:v>3.534752438807566</x:v>
      </x:c>
      <x:c r="N9" s="217" t="n">
        <x:v>2008</x:v>
      </x:c>
      <x:c r="O9" s="220" t="n">
        <x:v>3.536170098948586</x:v>
      </x:c>
      <x:c r="P9" s="220" t="n">
        <x:v>4.3386868051958505</x:v>
      </x:c>
      <x:c r="Q9" s="220" t="n">
        <x:v>-0.8025167062472658</x:v>
      </x:c>
    </x:row>
    <x:row r="10">
      <x:c r="A10" s="146" t="str">
        <x:v>Construcción</x:v>
      </x:c>
      <x:c r="B10" s="176" t="n">
        <x:f>AVERAGEIF('CJC Pesos VBP'!$B$6:$B$185,A10,'CJC Pesos VBP'!$F$6:$F$185)</x:f>
        <x:v>0.08642956894925555</x:v>
      </x:c>
      <x:c r="C10" s="176" t="n">
        <x:f>'CJC PTF actividad'!N8</x:f>
        <x:v>-0.11061697930961334</x:v>
      </x:c>
      <x:c r="D10" s="175" t="n">
        <x:f>'CJC PTF actividad'!O8</x:f>
        <x:v>-0.5861364591695346</x:v>
      </x:c>
      <x:c r="E10" s="175" t="n">
        <x:f>SUMIF('CJC Pesos VBP'!$B$6:$B$185,A10,'CJC Pesos VBP'!$I$6:$I$185)</x:f>
        <x:v>-1.0812249248631698</x:v>
      </x:c>
      <x:c r="F10" s="175" t="n">
        <x:f>AVERAGEIF('CJC Pesos VBP'!$B$6:$B$185,A10,'CJC Pesos VBP'!$I$6:$I$185)</x:f>
        <x:v>-0.05406124624315849</x:v>
      </x:c>
      <x:c r="G10" s="160" t="str">
        <x:f>IF(F10&lt;0,"Negativa","Positiva")</x:f>
        <x:v>Negativa</x:v>
      </x:c>
      <x:c r="I10" s="146" t="str">
        <x:v>Servicios sociales y personales</x:v>
      </x:c>
      <x:c r="J10" s="146" t="str">
        <x:v>Aumento</x:v>
      </x:c>
      <x:c r="K10" s="175" t="n">
        <x:f>F14</x:f>
        <x:v>0.11199169960367708</x:v>
      </x:c>
      <x:c r="L10" s="175" t="n">
        <x:f>L9+K10</x:f>
        <x:v>3.646744138411243</x:v>
      </x:c>
      <x:c r="N10" s="218" t="n">
        <x:v>2009</x:v>
      </x:c>
      <x:c r="O10" s="221" t="n">
        <x:v>0.2090175902593837</x:v>
      </x:c>
      <x:c r="P10" s="221" t="n">
        <x:v>0.776871032072586</x:v>
      </x:c>
      <x:c r="Q10" s="221" t="n">
        <x:v>-0.5678534418132021</x:v>
      </x:c>
    </x:row>
    <x:row r="11">
      <x:c r="A11" s="164" t="str">
        <x:v>Comercio y hotelería</x:v>
      </x:c>
      <x:c r="B11" s="174" t="n">
        <x:f>AVERAGEIF('CJC Pesos VBP'!$B$6:$B$185,A11,'CJC Pesos VBP'!$F$6:$F$185)</x:f>
        <x:v>0.12975852179698788</x:v>
      </x:c>
      <x:c r="C11" s="174" t="n">
        <x:f>'CJC PTF actividad'!N14</x:f>
        <x:v>0.23168807026714955</x:v>
      </x:c>
      <x:c r="D11" s="173" t="n">
        <x:f>'CJC PTF actividad'!O14</x:f>
        <x:v>1.0419282166758854</x:v>
      </x:c>
      <x:c r="E11" s="173" t="n">
        <x:f>SUMIF('CJC Pesos VBP'!$B$6:$B$185,A11,'CJC Pesos VBP'!$I$6:$I$185)</x:f>
        <x:v>2.602341333547139</x:v>
      </x:c>
      <x:c r="F11" s="173" t="n">
        <x:f>AVERAGEIF('CJC Pesos VBP'!$B$6:$B$185,A11,'CJC Pesos VBP'!$I$6:$I$185)</x:f>
        <x:v>0.13011706667735695</x:v>
      </x:c>
      <x:c r="G11" s="213" t="str">
        <x:f>IF(F11&lt;0,"Negativa","Positiva")</x:f>
        <x:v>Positiva</x:v>
      </x:c>
      <x:c r="I11" s="215" t="str">
        <x:v>Contrafactual sin PTF negativa</x:v>
      </x:c>
      <x:c r="J11" s="215" t="str">
        <x:v>Total</x:v>
      </x:c>
      <x:c r="K11" s="216" t="n">
        <x:f>L10</x:f>
        <x:v>3.646744138411243</x:v>
      </x:c>
      <x:c r="L11" s="216" t="n">
        <x:f>K11</x:f>
        <x:v>3.646744138411243</x:v>
      </x:c>
      <x:c r="N11" s="217" t="n">
        <x:v>2010</x:v>
      </x:c>
      <x:c r="O11" s="220" t="n">
        <x:v>3.896883927467329</x:v>
      </x:c>
      <x:c r="P11" s="220" t="n">
        <x:v>4.826468480612293</x:v>
      </x:c>
      <x:c r="Q11" s="220" t="n">
        <x:v>-0.929584553144964</x:v>
      </x:c>
    </x:row>
    <x:row r="12">
      <x:c r="A12" s="146" t="str">
        <x:v>Transporte y comunicaciones</x:v>
      </x:c>
      <x:c r="B12" s="176" t="n">
        <x:f>AVERAGEIF('CJC Pesos VBP'!$B$6:$B$185,A12,'CJC Pesos VBP'!$F$6:$F$185)</x:f>
        <x:v>0.08630724234416062</x:v>
      </x:c>
      <x:c r="C12" s="176" t="n">
        <x:f>'CJC PTF actividad'!N11</x:f>
        <x:v>0.042583650298000375</x:v>
      </x:c>
      <x:c r="D12" s="175" t="n">
        <x:f>'CJC PTF actividad'!O11</x:f>
        <x:v>0.20850955782880237</x:v>
      </x:c>
      <x:c r="E12" s="175" t="n">
        <x:f>SUMIF('CJC Pesos VBP'!$B$6:$B$185,A12,'CJC Pesos VBP'!$I$6:$I$185)</x:f>
        <x:v>0.33915103786901724</x:v>
      </x:c>
      <x:c r="F12" s="175" t="n">
        <x:f>AVERAGEIF('CJC Pesos VBP'!$B$6:$B$185,A12,'CJC Pesos VBP'!$I$6:$I$185)</x:f>
        <x:v>0.016957551893450863</x:v>
      </x:c>
      <x:c r="G12" s="160" t="str">
        <x:f>IF(F12&lt;0,"Negativa","Positiva")</x:f>
        <x:v>Positiva</x:v>
      </x:c>
      <x:c r="I12" s="146" t="str">
        <x:v>Servicios públicos</x:v>
      </x:c>
      <x:c r="J12" s="146" t="str">
        <x:v>Disminución</x:v>
      </x:c>
      <x:c r="K12" s="175" t="n">
        <x:f>F9</x:f>
        <x:v>-0.00791894898236196</x:v>
      </x:c>
      <x:c r="L12" s="175" t="n">
        <x:f>L11+K12</x:f>
        <x:v>3.638825189428881</x:v>
      </x:c>
      <x:c r="N12" s="218" t="n">
        <x:v>2011</x:v>
      </x:c>
      <x:c r="O12" s="221" t="n">
        <x:v>6.400132043518472</x:v>
      </x:c>
      <x:c r="P12" s="221" t="n">
        <x:v>6.124883392279787</x:v>
      </x:c>
      <x:c r="Q12" s="221" t="n">
        <x:v>0.2752486512386846</x:v>
      </x:c>
    </x:row>
    <x:row r="13">
      <x:c r="A13" s="164" t="str">
        <x:v>Finanzas</x:v>
      </x:c>
      <x:c r="B13" s="174" t="n">
        <x:f>AVERAGEIF('CJC Pesos VBP'!$B$6:$B$185,A13,'CJC Pesos VBP'!$F$6:$F$185)</x:f>
        <x:v>0.14659333605246344</x:v>
      </x:c>
      <x:c r="C13" s="174" t="n">
        <x:f>'CJC PTF actividad'!N7</x:f>
        <x:v>-0.19008198002888832</x:v>
      </x:c>
      <x:c r="D13" s="173" t="n">
        <x:f>'CJC PTF actividad'!O7</x:f>
        <x:v>-1.0541112317496437</x:v>
      </x:c>
      <x:c r="E13" s="173" t="n">
        <x:f>SUMIF('CJC Pesos VBP'!$B$6:$B$185,A13,'CJC Pesos VBP'!$I$6:$I$185)</x:f>
        <x:v>-3.078395190901746</x:v>
      </x:c>
      <x:c r="F13" s="173" t="n">
        <x:f>AVERAGEIF('CJC Pesos VBP'!$B$6:$B$185,A13,'CJC Pesos VBP'!$I$6:$I$185)</x:f>
        <x:v>-0.1539197595450873</x:v>
      </x:c>
      <x:c r="G13" s="213" t="str">
        <x:f>IF(F13&lt;0,"Negativa","Positiva")</x:f>
        <x:v>Negativa</x:v>
      </x:c>
      <x:c r="I13" s="146" t="str">
        <x:v>Construcción</x:v>
      </x:c>
      <x:c r="J13" s="146" t="str">
        <x:v>Disminución</x:v>
      </x:c>
      <x:c r="K13" s="175" t="n">
        <x:f>F10</x:f>
        <x:v>-0.05406124624315849</x:v>
      </x:c>
      <x:c r="L13" s="175" t="n">
        <x:f>L12+K13</x:f>
        <x:v>3.584763943185722</x:v>
      </x:c>
      <x:c r="N13" s="217" t="n">
        <x:v>2012</x:v>
      </x:c>
      <x:c r="O13" s="220" t="n">
        <x:v>3.294319422660301</x:v>
      </x:c>
      <x:c r="P13" s="220" t="n">
        <x:v>3.4522943920066655</x:v>
      </x:c>
      <x:c r="Q13" s="220" t="n">
        <x:v>-0.1579749693463642</x:v>
      </x:c>
    </x:row>
    <x:row r="14">
      <x:c r="A14" s="146" t="str">
        <x:v>Servicios sociales y personales</x:v>
      </x:c>
      <x:c r="B14" s="176" t="n">
        <x:f>AVERAGEIF('CJC Pesos VBP'!$B$6:$B$185,A14,'CJC Pesos VBP'!$F$6:$F$185)</x:f>
        <x:v>0.16048204917928272</x:v>
      </x:c>
      <x:c r="C14" s="176" t="n">
        <x:f>'CJC PTF actividad'!N12</x:f>
        <x:v>0.14156831094000788</x:v>
      </x:c>
      <x:c r="D14" s="175" t="n">
        <x:f>'CJC PTF actividad'!O12</x:f>
        <x:v>0.6620151416670758</x:v>
      </x:c>
      <x:c r="E14" s="175" t="n">
        <x:f>SUMIF('CJC Pesos VBP'!$B$6:$B$185,A14,'CJC Pesos VBP'!$I$6:$I$185)</x:f>
        <x:v>2.2398339920735415</x:v>
      </x:c>
      <x:c r="F14" s="175" t="n">
        <x:f>AVERAGEIF('CJC Pesos VBP'!$B$6:$B$185,A14,'CJC Pesos VBP'!$I$6:$I$185)</x:f>
        <x:v>0.11199169960367708</x:v>
      </x:c>
      <x:c r="G14" s="160" t="str">
        <x:f>IF(F14&lt;0,"Negativa","Positiva")</x:f>
        <x:v>Positiva</x:v>
      </x:c>
      <x:c r="I14" s="146" t="str">
        <x:v>Manufactura</x:v>
      </x:c>
      <x:c r="J14" s="146" t="str">
        <x:v>Disminución</x:v>
      </x:c>
      <x:c r="K14" s="175" t="n">
        <x:f>F8</x:f>
        <x:v>-0.057771038071094606</x:v>
      </x:c>
      <x:c r="L14" s="175" t="n">
        <x:f>L13+K14</x:f>
        <x:v>3.5269929051146276</x:v>
      </x:c>
      <x:c r="N14" s="218" t="n">
        <x:v>2013</x:v>
      </x:c>
      <x:c r="O14" s="221" t="n">
        <x:v>4.763238623685755</x:v>
      </x:c>
      <x:c r="P14" s="221" t="n">
        <x:v>4.456624062860307</x:v>
      </x:c>
      <x:c r="Q14" s="221" t="n">
        <x:v>0.306614560825448</x:v>
      </x:c>
    </x:row>
    <x:row r="15">
      <x:c r="A15" s="183" t="str">
        <x:v>Total de la economía</x:v>
      </x:c>
      <x:c r="B15" s="200" t="n">
        <x:f>1</x:f>
        <x:v>1</x:v>
      </x:c>
      <x:c r="C15" s="200" t="n">
        <x:f>'CJC PTF actividad'!N15</x:f>
        <x:v>-0.014514146306010334</x:v>
      </x:c>
      <x:c r="D15" s="184" t="n">
        <x:f>'CJC PTF actividad'!O15</x:f>
        <x:v>-0.07310253468928843</x:v>
      </x:c>
      <x:c r="E15" s="184" t="n">
        <x:f>SUM(E6:E14)</x:f>
        <x:v>-1.4620506937857698</x:v>
      </x:c>
      <x:c r="F15" s="184" t="n">
        <x:f>SUM(F6:F14)</x:f>
        <x:v>-0.07310253468928848</x:v>
      </x:c>
      <x:c r="G15" s="183" t="str">
        <x:f>IF(F15&lt;0,"Negativa","Positiva")</x:f>
        <x:v>Negativa</x:v>
      </x:c>
      <x:c r="I15" s="146" t="str">
        <x:v>Minería</x:v>
      </x:c>
      <x:c r="J15" s="146" t="str">
        <x:v>Disminución</x:v>
      </x:c>
      <x:c r="K15" s="175" t="n">
        <x:f>F7</x:f>
        <x:v>-0.11483724381149556</x:v>
      </x:c>
      <x:c r="L15" s="175" t="n">
        <x:f>L14+K15</x:f>
        <x:v>3.412155661303132</x:v>
      </x:c>
      <x:c r="N15" s="217" t="n">
        <x:v>2014</x:v>
      </x:c>
      <x:c r="O15" s="220" t="n">
        <x:v>3.738562582352405</x:v>
      </x:c>
      <x:c r="P15" s="220" t="n">
        <x:v>4.439185773598743</x:v>
      </x:c>
      <x:c r="Q15" s="220" t="n">
        <x:v>-0.7006231912463368</x:v>
      </x:c>
    </x:row>
    <x:row r="16">
      <x:c r="I16" s="146" t="str">
        <x:v>Finanzas</x:v>
      </x:c>
      <x:c r="J16" s="146" t="str">
        <x:v>Disminución</x:v>
      </x:c>
      <x:c r="K16" s="175" t="n">
        <x:f>F13</x:f>
        <x:v>-0.1539197595450873</x:v>
      </x:c>
      <x:c r="L16" s="175" t="n">
        <x:f>L15+K16</x:f>
        <x:v>3.2582359017580447</x:v>
      </x:c>
      <x:c r="N16" s="218" t="n">
        <x:v>2015</x:v>
      </x:c>
      <x:c r="O16" s="221" t="n">
        <x:v>3.178792758244401</x:v>
      </x:c>
      <x:c r="P16" s="221" t="n">
        <x:v>2.792520597194514</x:v>
      </x:c>
      <x:c r="Q16" s="221" t="n">
        <x:v>0.3862721610498867</x:v>
      </x:c>
    </x:row>
    <x:row r="17">
      <x:c r="I17" s="183" t="str">
        <x:v>Crecimiento observado</x:v>
      </x:c>
      <x:c r="J17" s="183" t="str">
        <x:v>Total</x:v>
      </x:c>
      <x:c r="K17" s="184" t="n">
        <x:f>AVERAGE(O6:O25)</x:f>
        <x:v>3.258235901758045</x:v>
      </x:c>
      <x:c r="L17" s="184" t="n">
        <x:f>K17</x:f>
        <x:v>3.258235901758045</x:v>
      </x:c>
      <x:c r="N17" s="217" t="n">
        <x:v>2016</x:v>
      </x:c>
      <x:c r="O17" s="220" t="n">
        <x:v>1.467999858889725</x:v>
      </x:c>
      <x:c r="P17" s="220" t="n">
        <x:v>2.047248187976482</x:v>
      </x:c>
      <x:c r="Q17" s="220" t="n">
        <x:v>-0.5792483290867567</x:v>
      </x:c>
    </x:row>
    <x:row r="18">
      <x:c r="N18" s="218" t="n">
        <x:v>2017</x:v>
      </x:c>
      <x:c r="O18" s="221" t="n">
        <x:v>0.4200472577350662</x:v>
      </x:c>
      <x:c r="P18" s="221" t="n">
        <x:v>0.30114592145183733</x:v>
      </x:c>
      <x:c r="Q18" s="221" t="n">
        <x:v>0.118901336283229</x:v>
      </x:c>
    </x:row>
    <x:row r="19">
      <x:c r="N19" s="217" t="n">
        <x:v>2018</x:v>
      </x:c>
      <x:c r="O19" s="220" t="n">
        <x:v>2.24346944203088</x:v>
      </x:c>
      <x:c r="P19" s="220" t="n">
        <x:v>2.0883053320852714</x:v>
      </x:c>
      <x:c r="Q19" s="220" t="n">
        <x:v>0.1551641099456086</x:v>
      </x:c>
    </x:row>
    <x:row r="20">
      <x:c r="N20" s="218" t="n">
        <x:v>2019</x:v>
      </x:c>
      <x:c r="O20" s="221" t="n">
        <x:v>2.49828693451361</x:v>
      </x:c>
      <x:c r="P20" s="221" t="n">
        <x:v>2.3537255938463613</x:v>
      </x:c>
      <x:c r="Q20" s="221" t="n">
        <x:v>0.1445613406672486</x:v>
      </x:c>
    </x:row>
    <x:row r="21">
      <x:c r="N21" s="217" t="n">
        <x:v>2020</x:v>
      </x:c>
      <x:c r="O21" s="220" t="n">
        <x:v>-8.554652568163663</x:v>
      </x:c>
      <x:c r="P21" s="220" t="n">
        <x:v>-7.775051683560499</x:v>
      </x:c>
      <x:c r="Q21" s="220" t="n">
        <x:v>-0.7796008846031638</x:v>
      </x:c>
    </x:row>
    <x:row r="22">
      <x:c r="N22" s="218" t="n">
        <x:v>2021</x:v>
      </x:c>
      <x:c r="O22" s="221" t="n">
        <x:v>10.57476198098776</x:v>
      </x:c>
      <x:c r="P22" s="221" t="n">
        <x:v>9.960449362075963</x:v>
      </x:c>
      <x:c r="Q22" s="221" t="n">
        <x:v>0.6143126189117988</x:v>
      </x:c>
    </x:row>
    <x:row r="23">
      <x:c r="N23" s="217" t="n">
        <x:v>2022</x:v>
      </x:c>
      <x:c r="O23" s="220" t="n">
        <x:v>8.048415621681285</x:v>
      </x:c>
      <x:c r="P23" s="220" t="n">
        <x:v>8.003937951593773</x:v>
      </x:c>
      <x:c r="Q23" s="220" t="n">
        <x:v>0.04447767008751363</x:v>
      </x:c>
    </x:row>
    <x:row r="24">
      <x:c r="N24" s="218" t="n">
        <x:v>2023</x:v>
      </x:c>
      <x:c r="O24" s="221" t="n">
        <x:v>0.6911439906250468</x:v>
      </x:c>
      <x:c r="P24" s="221" t="n">
        <x:v>1.1968850503521804</x:v>
      </x:c>
      <x:c r="Q24" s="221" t="n">
        <x:v>-0.5057410597271336</x:v>
      </x:c>
    </x:row>
    <x:row r="25">
      <x:c r="N25" s="217" t="n">
        <x:v>2024</x:v>
      </x:c>
      <x:c r="O25" s="220" t="n">
        <x:v>0.8444873596331464</x:v>
      </x:c>
      <x:c r="P25" s="220" t="n">
        <x:v>0.22140371756140542</x:v>
      </x:c>
      <x:c r="Q25" s="220" t="n">
        <x:v>0.6230836420717408</x:v>
      </x:c>
    </x:row>
  </x:sheetData>
  <x:mergeCells>
    <x:mergeCell ref="A1:Q1"/>
    <x:mergeCell ref="A2:Q2"/>
  </x:mergeCells>
  <x:conditionalFormatting sqref="G6:G15">
    <x:cfRule type="containsText" dxfId="4" priority="1" operator="containsText" text="Negativa"/>
    <x:cfRule type="containsText" dxfId="5" priority="2" operator="containsText" text="Positiv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45" hidden="0" customWidth="1"/>
    <x:col min="3" max="3" width="20" hidden="0" customWidth="1"/>
    <x:col min="4" max="4" width="12.5" hidden="0" customWidth="1"/>
    <x:col min="5" max="5" width="45" hidden="0" customWidth="1"/>
    <x:col min="6" max="6" width="12.5" hidden="0" customWidth="1"/>
  </x:cols>
  <x:sheetData>
    <x:row r="1" ht="25.5" customHeight="1">
      <x:c r="A1" s="130" t="str">
        <x:v>Trazabilidad de las figuras del informe</x:v>
      </x:c>
      <x:c r="B1" s="130"/>
      <x:c r="C1" s="130"/>
      <x:c r="D1" s="130"/>
      <x:c r="E1" s="130"/>
      <x:c r="F1" s="130"/>
    </x:row>
    <x:row r="2" ht="22.5" customHeight="1">
      <x:c r="A2" s="134" t="str">
        <x:v>Cada fila identifica el rango que contiene los datos o cálculos usados para construir la figura.</x:v>
      </x:c>
      <x:c r="B2" s="134"/>
      <x:c r="C2" s="134"/>
      <x:c r="D2" s="134"/>
      <x:c r="E2" s="134"/>
      <x:c r="F2" s="134"/>
    </x:row>
    <x:row r="5" ht="25.5" customHeight="1">
      <x:c r="A5" s="140" t="str">
        <x:v>Figura</x:v>
      </x:c>
      <x:c r="B5" s="140" t="str">
        <x:v>Contenido</x:v>
      </x:c>
      <x:c r="C5" s="140" t="str">
        <x:v>Hoja</x:v>
      </x:c>
      <x:c r="D5" s="140" t="str">
        <x:v>Rango</x:v>
      </x:c>
      <x:c r="E5" s="140" t="str">
        <x:v>Cálculo central</x:v>
      </x:c>
      <x:c r="F5" s="140" t="str">
        <x:v>Periodo</x:v>
      </x:c>
    </x:row>
    <x:row r="6">
      <x:c r="A6" s="147" t="str">
        <x:v>Figura 1</x:v>
      </x:c>
      <x:c r="B6" s="147" t="str">
        <x:v>Tasa anual de crecimiento de la PTF del total bajo valor agregado</x:v>
      </x:c>
      <x:c r="C6" s="147" t="str">
        <x:v>CJC VA total</x:v>
      </x:c>
      <x:c r="D6" s="147" t="str">
        <x:v>A5:F26</x:v>
      </x:c>
      <x:c r="E6" s="147" t="str">
        <x:v>Serie anual del DANE; columna F</x:v>
      </x:c>
      <x:c r="F6" s="147" t="str">
        <x:v>2005–2025</x:v>
      </x:c>
    </x:row>
    <x:row r="7">
      <x:c r="A7" s="158" t="str">
        <x:v>Figura 2</x:v>
      </x:c>
      <x:c r="B7" s="158" t="str">
        <x:v>Cascada de la descomposición del crecimiento del valor agregado</x:v>
      </x:c>
      <x:c r="C7" s="158" t="str">
        <x:v>CJC VA total</x:v>
      </x:c>
      <x:c r="D7" s="158" t="str">
        <x:v>O5:R10</x:v>
      </x:c>
      <x:c r="E7" s="158" t="str">
        <x:v>Promedios de trabajo, capital, factores, PTF y VAB</x:v>
      </x:c>
      <x:c r="F7" s="158" t="str">
        <x:v>2005–2025</x:v>
      </x:c>
    </x:row>
    <x:row r="8">
      <x:c r="A8" s="148" t="str">
        <x:v>Figura 3</x:v>
      </x:c>
      <x:c r="B8" s="148" t="str">
        <x:v>Mapa de tasas anuales de PTF por actividad</x:v>
      </x:c>
      <x:c r="C8" s="148" t="str">
        <x:v>CJC PTF actividad</x:v>
      </x:c>
      <x:c r="D8" s="148" t="str">
        <x:v>A5:K25</x:v>
      </x:c>
      <x:c r="E8" s="148" t="str">
        <x:v>20 tasas por actividad y total</x:v>
      </x:c>
      <x:c r="F8" s="148" t="str">
        <x:v>2005–2024</x:v>
      </x:c>
    </x:row>
    <x:row r="9">
      <x:c r="A9" s="158" t="str">
        <x:v>Figura 4</x:v>
      </x:c>
      <x:c r="B9" s="158" t="str">
        <x:v>Crecimiento acumulado y tasa anualizada por actividad</x:v>
      </x:c>
      <x:c r="C9" s="158" t="str">
        <x:v>CJC PTF actividad</x:v>
      </x:c>
      <x:c r="D9" s="158" t="str">
        <x:v>M5:Q15</x:v>
      </x:c>
      <x:c r="E9" s="158" t="str">
        <x:v>Índice encadenado y promedio de tasas logarítmicas</x:v>
      </x:c>
      <x:c r="F9" s="158" t="str">
        <x:v>2004–2024</x:v>
      </x:c>
    </x:row>
    <x:row r="10">
      <x:c r="A10" s="148" t="str">
        <x:v>Figura 5</x:v>
      </x:c>
      <x:c r="B10" s="148" t="str">
        <x:v>Contribuciones acumuladas y anualizadas a la PTF total</x:v>
      </x:c>
      <x:c r="C10" s="148" t="str">
        <x:v>CJC Contribuciones</x:v>
      </x:c>
      <x:c r="D10" s="148" t="str">
        <x:v>A5:G15</x:v>
      </x:c>
      <x:c r="E10" s="148" t="str">
        <x:v>Peso anual × PTF anual; suma y promedio por actividad</x:v>
      </x:c>
      <x:c r="F10" s="148" t="str">
        <x:v>2005–2024</x:v>
      </x:c>
    </x:row>
    <x:row r="11">
      <x:c r="A11" s="158" t="str">
        <x:v>Figura 6</x:v>
      </x:c>
      <x:c r="B11" s="158" t="str">
        <x:v>Cascada desde el crecimiento sin PTF hasta el observado</x:v>
      </x:c>
      <x:c r="C11" s="158" t="str">
        <x:v>CJC Contribuciones</x:v>
      </x:c>
      <x:c r="D11" s="158" t="str">
        <x:v>I5:L17</x:v>
      </x:c>
      <x:c r="E11" s="158" t="str">
        <x:v>Factores + contribuciones positivas + contribuciones negativas</x:v>
      </x:c>
      <x:c r="F11" s="158" t="str">
        <x:v>2005–2024</x:v>
      </x:c>
    </x:row>
  </x:sheetData>
  <x:mergeCells>
    <x:mergeCell ref="A1:F1"/>
    <x:mergeCell ref="A2:F2"/>
  </x:mergeCells>
  <x:pageMargins left="0.7" right="0.7" top="0.75" bottom="0.75" header="0.3" footer="0.3"/>
</x:worksheet>
</file>