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c9332271d41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Índice" sheetId="9" r:id="R8ec7996a47d24906"/>
    <x:sheet xmlns:r="http://schemas.openxmlformats.org/officeDocument/2006/relationships" name="Cuadro 1" sheetId="25" r:id="Ra6093348652e4178"/>
    <x:sheet xmlns:r="http://schemas.openxmlformats.org/officeDocument/2006/relationships" name="Cuadro 2" sheetId="6" r:id="R852dadac678a42d0"/>
    <x:sheet xmlns:r="http://schemas.openxmlformats.org/officeDocument/2006/relationships" name="Cuadro 3" sheetId="8" r:id="R357d715568864668"/>
    <x:sheet xmlns:r="http://schemas.openxmlformats.org/officeDocument/2006/relationships" name="Cuadro 4" sheetId="31" r:id="R2f233308d6664573"/>
    <x:sheet xmlns:r="http://schemas.openxmlformats.org/officeDocument/2006/relationships" name="Cuadro 5" sheetId="32" r:id="R3c64e8e357ce49dc"/>
    <x:sheet xmlns:r="http://schemas.openxmlformats.org/officeDocument/2006/relationships" name="Cuadro 6" sheetId="33" r:id="R0afb98dfc5184b44"/>
    <x:sheet xmlns:r="http://schemas.openxmlformats.org/officeDocument/2006/relationships" name="Cuadro 7" sheetId="34" r:id="Ra71c93a6a8514620"/>
    <x:sheet xmlns:r="http://schemas.openxmlformats.org/officeDocument/2006/relationships" name="Cuadro 8" sheetId="35" r:id="Ra2dff26601d64467"/>
    <x:sheet xmlns:r="http://schemas.openxmlformats.org/officeDocument/2006/relationships" name="Cuadro 9" sheetId="36" r:id="R4049836f4abb4e54"/>
    <x:sheet xmlns:r="http://schemas.openxmlformats.org/officeDocument/2006/relationships" name="Cuadro 10" sheetId="37" r:id="R4551a960dc1d4390"/>
    <x:sheet xmlns:r="http://schemas.openxmlformats.org/officeDocument/2006/relationships" name="Cuadro 11" sheetId="38" r:id="R6b6612c40fd64a4f"/>
    <x:sheet xmlns:r="http://schemas.openxmlformats.org/officeDocument/2006/relationships" name="Cuadro 12" sheetId="39" r:id="R1d5d2cfa5e884e3f"/>
    <x:sheet xmlns:r="http://schemas.openxmlformats.org/officeDocument/2006/relationships" name="Cuadro 13" sheetId="40" r:id="Ra948cdaa74754a88"/>
    <x:sheet xmlns:r="http://schemas.openxmlformats.org/officeDocument/2006/relationships" name="Cuadro 14" sheetId="41" r:id="Rbc92309f908d431a"/>
    <x:sheet xmlns:r="http://schemas.openxmlformats.org/officeDocument/2006/relationships" name="Cuadro 15" sheetId="42" r:id="R8e11e02b6e7e4274"/>
    <x:sheet xmlns:r="http://schemas.openxmlformats.org/officeDocument/2006/relationships" name="Cuadro 16" sheetId="43" r:id="Rd5ba6cac2a894ec5"/>
    <x:sheet xmlns:r="http://schemas.openxmlformats.org/officeDocument/2006/relationships" name="Cuadro 17" sheetId="44" r:id="R375b25f26cd54d74"/>
    <x:sheet xmlns:r="http://schemas.openxmlformats.org/officeDocument/2006/relationships" name="Cuadro 18" sheetId="45" r:id="R6530f71029464cd0"/>
    <x:sheet xmlns:r="http://schemas.openxmlformats.org/officeDocument/2006/relationships" name="Cuadro 19" sheetId="46" r:id="R94552d550a4b487f"/>
    <x:sheet xmlns:r="http://schemas.openxmlformats.org/officeDocument/2006/relationships" name="Cuadro 20" sheetId="47" r:id="Rc1643da70ea04704"/>
    <x:sheet xmlns:r="http://schemas.openxmlformats.org/officeDocument/2006/relationships" name="Cuadro 21" sheetId="28" r:id="R3533d02d55c842a4"/>
    <x:sheet xmlns:r="http://schemas.openxmlformats.org/officeDocument/2006/relationships" name="Cuadro 22" sheetId="29" r:id="R26457df361174a3a"/>
    <x:sheet xmlns:r="http://schemas.openxmlformats.org/officeDocument/2006/relationships" name="Cuadro 23" sheetId="30" r:id="Rfb6ab6ad3d844f33"/>
    <x:sheet xmlns:r="http://schemas.openxmlformats.org/officeDocument/2006/relationships" name="CJC Guía" sheetId="48" r:id="R32f393188e474f19"/>
    <x:sheet xmlns:r="http://schemas.openxmlformats.org/officeDocument/2006/relationships" name="CJC VA total" sheetId="49" r:id="R0269529c21cc484b"/>
    <x:sheet xmlns:r="http://schemas.openxmlformats.org/officeDocument/2006/relationships" name="CJC PTF actividad" sheetId="50" r:id="R4501b1fd02b44f60"/>
    <x:sheet xmlns:r="http://schemas.openxmlformats.org/officeDocument/2006/relationships" name="CJC Pesos VBP" sheetId="51" r:id="R9da1f234f2714f8d"/>
    <x:sheet xmlns:r="http://schemas.openxmlformats.org/officeDocument/2006/relationships" name="CJC Contribuciones" sheetId="52" r:id="R5e68c38bd89d40a4"/>
    <x:sheet xmlns:r="http://schemas.openxmlformats.org/officeDocument/2006/relationships" name="CJC Figuras" sheetId="53" r:id="Re68a58da156e493e"/>
  </x:sheets>
</x:workbook>
</file>

<file path=xl/sharedStrings.xml><?xml version="1.0" encoding="utf-8"?>
<x:sst xmlns:x="http://schemas.openxmlformats.org/spreadsheetml/2006/main">
  <x:si>
    <x:t xml:space="preserve">PRODUCTIVIDAD TOTAL DE LOS FACTORES (PTF)</x:t>
  </x:si>
  <x:si>
    <x:t xml:space="preserve"> Base 2015</x:t>
  </x:si>
  <x:si>
    <x:t xml:space="preserve">1.</x:t>
  </x:si>
  <x:si>
    <x:t xml:space="preserve">Enfoque de Valor Agregado</x:t>
  </x:si>
  <x:si>
    <x:t xml:space="preserve">Cuadro 1</x:t>
  </x:si>
  <x:si>
    <x:r>
      <x:t xml:space="preserve">Productividad Total de los Factores  2005- 2025</x:t>
    </x:r>
    <x:r>
      <x:rPr>
        <x:sz val="11"/>
        <x:rFont val="Segoe UI"/>
        <x:family val="2"/>
      </x:rPr>
      <x:t xml:space="preserve">pr</x:t>
    </x:r>
  </x:si>
  <x:si>
    <x:t xml:space="preserve">Cuadro 2</x:t>
  </x:si>
  <x:si>
    <x:r>
      <x:rPr>
        <x:sz val="11"/>
        <x:color rgb="FF000000"/>
        <x:rFont val="Segoe UI"/>
      </x:rPr>
      <x:t xml:space="preserve">Productividad Total de los Factores por actividad económica año 2025 </x:t>
    </x:r>
    <x:r>
      <x:rPr>
        <x:sz val="11"/>
        <x:color rgb="FF000000"/>
        <x:rFont val="Segoe UI"/>
      </x:rPr>
      <x:t xml:space="preserve">pr</x:t>
    </x:r>
  </x:si>
  <x:si>
    <x:t xml:space="preserve">2.</x:t>
  </x:si>
  <x:si>
    <x:t xml:space="preserve">Enfoque de Producción</x:t>
  </x:si>
  <x:si>
    <x:t xml:space="preserve">Cuadro 3</x:t>
  </x:si>
  <x:si>
    <x:r>
      <x:t xml:space="preserve">Productividad 2005 - 2024</x:t>
    </x:r>
    <x:r>
      <x:rPr>
        <x:sz val="11"/>
        <x:rFont val="Segoe UI"/>
        <x:family val="2"/>
      </x:rPr>
      <x:t xml:space="preserve">p</x:t>
    </x:r>
    <x:r>
      <x:rPr>
        <x:sz val="11"/>
        <x:rFont val="Segoe UI"/>
        <x:family val="2"/>
      </x:rPr>
      <x:t xml:space="preserve"> - desagregación por sexo al nacer</x:t>
    </x:r>
  </x:si>
  <x:si>
    <x:t xml:space="preserve">Cuadro 4</x:t>
  </x:si>
  <x:si>
    <x:t xml:space="preserve">Productividad Total de los Factores por actividad económica año 2005 </x:t>
  </x:si>
  <x:si>
    <x:t xml:space="preserve">Cuadro 5</x:t>
  </x:si>
  <x:si>
    <x:t xml:space="preserve">Productividad Total de los Factores por actividad económica año 2006</x:t>
  </x:si>
  <x:si>
    <x:t xml:space="preserve">Cuadro 6</x:t>
  </x:si>
  <x:si>
    <x:t xml:space="preserve">Productividad Total de los Factores por actividad económica año 2007 </x:t>
  </x:si>
  <x:si>
    <x:t xml:space="preserve">Cuadro 7</x:t>
  </x:si>
  <x:si>
    <x:t xml:space="preserve">Productividad Total de los Factores por actividad económica año 2008</x:t>
  </x:si>
  <x:si>
    <x:t xml:space="preserve">Cuadro 8</x:t>
  </x:si>
  <x:si>
    <x:t xml:space="preserve">Productividad Total de los Factores por actividad económica año 2009</x:t>
  </x:si>
  <x:si>
    <x:t xml:space="preserve">Cuadro 9</x:t>
  </x:si>
  <x:si>
    <x:t xml:space="preserve">Productividad Total de los Factores por actividad económica año 2010</x:t>
  </x:si>
  <x:si>
    <x:t xml:space="preserve">Cuadro 10</x:t>
  </x:si>
  <x:si>
    <x:t xml:space="preserve">Productividad Total de los Factores por actividad económica año 2011</x:t>
  </x:si>
  <x:si>
    <x:t xml:space="preserve">Cuadro 11</x:t>
  </x:si>
  <x:si>
    <x:t xml:space="preserve">Productividad Total de los Factores por actividad económica año 2012</x:t>
  </x:si>
  <x:si>
    <x:t xml:space="preserve">Cuadro 12</x:t>
  </x:si>
  <x:si>
    <x:t xml:space="preserve">Productividad Total de los Factores por actividad económica año 2013</x:t>
  </x:si>
  <x:si>
    <x:t xml:space="preserve">Cuadro 13</x:t>
  </x:si>
  <x:si>
    <x:t xml:space="preserve">Productividad Total de los Factores por actividad económica año 2014</x:t>
  </x:si>
  <x:si>
    <x:t xml:space="preserve">Cuadro 14</x:t>
  </x:si>
  <x:si>
    <x:t xml:space="preserve">Productividad Total de los Factores por actividad económica año 2015</x:t>
  </x:si>
  <x:si>
    <x:t xml:space="preserve">Cuadro 15</x:t>
  </x:si>
  <x:si>
    <x:t xml:space="preserve">Productividad Total de los Factores por actividad económica año 2016</x:t>
  </x:si>
  <x:si>
    <x:t xml:space="preserve">Cuadro 16</x:t>
  </x:si>
  <x:si>
    <x:t xml:space="preserve">Productividad Total de los Factores por actividad económica año 2017</x:t>
  </x:si>
  <x:si>
    <x:t xml:space="preserve">Cuadro 17</x:t>
  </x:si>
  <x:si>
    <x:t xml:space="preserve">Productividad Total de los Factores por actividad económica año 2018</x:t>
  </x:si>
  <x:si>
    <x:t xml:space="preserve">Cuadro 18</x:t>
  </x:si>
  <x:si>
    <x:t xml:space="preserve">Productividad Total de los Factores por actividad económica año 2019</x:t>
  </x:si>
  <x:si>
    <x:t xml:space="preserve">Cuadro 19</x:t>
  </x:si>
  <x:si>
    <x:t xml:space="preserve">Productividad Total de los Factores por actividad económica año 2020</x:t>
  </x:si>
  <x:si>
    <x:t xml:space="preserve">Cuadro 20</x:t>
  </x:si>
  <x:si>
    <x:t xml:space="preserve">Productividad Total de los Factores por actividad económica año 2021</x:t>
  </x:si>
  <x:si>
    <x:t xml:space="preserve">Cuadro 21</x:t>
  </x:si>
  <x:si>
    <x:t xml:space="preserve">Productividad Total de los Factores por actividad económica año 2022</x:t>
  </x:si>
  <x:si>
    <x:t xml:space="preserve">Cuadro 22</x:t>
  </x:si>
  <x:si>
    <x:t xml:space="preserve">Productividad Total de los Factores por actividad económica año 2023</x:t>
  </x:si>
  <x:si>
    <x:t xml:space="preserve">Cuadro 23</x:t>
  </x:si>
  <x:si>
    <x:r>
      <x:t xml:space="preserve">Productividad Total de los Factores por actividad económica año 2024</x:t>
    </x:r>
    <x:r>
      <x:rPr>
        <x:sz val="11"/>
        <x:rFont val="Segoe UI"/>
        <x:family val="2"/>
      </x:rPr>
      <x:t xml:space="preserve">p</x:t>
    </x:r>
  </x:si>
  <x:si>
    <x:r>
      <x:rPr>
        <x:sz val="9"/>
        <x:rFont val="Segoe UI"/>
        <x:family val="2"/>
      </x:rPr>
      <x:t xml:space="preserve">p</x:t>
    </x:r>
    <x:r>
      <x:rPr>
        <x:sz val="9"/>
        <x:rFont val="Segoe UI"/>
        <x:family val="2"/>
      </x:rPr>
      <x:t xml:space="preserve"> provisional</x:t>
    </x:r>
  </x:si>
  <x:si>
    <x:r>
      <x:rPr>
        <x:sz val="9"/>
        <x:rFont val="Segoe UI"/>
        <x:family val="2"/>
      </x:rPr>
      <x:t xml:space="preserve">pr</x:t>
    </x:r>
    <x:r>
      <x:rPr>
        <x:sz val="9"/>
        <x:rFont val="Segoe UI"/>
        <x:family val="2"/>
      </x:rPr>
      <x:t xml:space="preserve"> preliminar</x:t>
    </x:r>
  </x:si>
  <x:si>
    <x:t xml:space="preserve">Índice</x:t>
  </x:si>
  <x:si>
    <x:t xml:space="preserve">Productividad Total de los Factores (PTF)</x:t>
  </x:si>
  <x:si>
    <x:t xml:space="preserve">Tasas de crecimiento anual en volumen</x:t>
  </x:si>
  <x:si>
    <x:t xml:space="preserve">Base 2015</x:t>
  </x:si>
  <x:si>
    <x:r>
      <x:t xml:space="preserve">2005-2025</x:t>
    </x:r>
    <x:r>
      <x:rPr>
        <x:b/>
        <x:sz val="9"/>
        <x:rFont val="Segoe UI"/>
        <x:family val="2"/>
      </x:rPr>
      <x:t xml:space="preserve">pr</x:t>
    </x:r>
  </x:si>
  <x:si>
    <x:t xml:space="preserve">Año</x:t>
  </x:si>
  <x:si>
    <x:r>
      <x:t xml:space="preserve">Valor Agregado Bruto</x:t>
    </x:r>
    <x:r>
      <x:rPr>
        <x:b/>
        <x:sz val="10"/>
        <x:color rgb="FF000000"/>
        <x:rFont val="Segoe UI"/>
        <x:family val="2"/>
      </x:rPr>
      <x:t xml:space="preserve">1</x:t>
    </x:r>
  </x:si>
  <x:si>
    <x:t xml:space="preserve">Servicios laborales</x:t>
  </x:si>
  <x:si>
    <x:t xml:space="preserve">Servicios de capital</x:t>
  </x:si>
  <x:si>
    <x:t xml:space="preserve">Contribución de los factores</x:t>
  </x:si>
  <x:si>
    <x:t xml:space="preserve">Productividad Total de los Factores</x:t>
  </x:si>
  <x:si>
    <x:t xml:space="preserve">Tasas de crecimiento (%)</x:t>
  </x:si>
  <x:si>
    <x:t xml:space="preserve">Aporte al crecimiento del valor agregado (pp)</x:t>
  </x:si>
  <x:si>
    <x:r>
      <x:t xml:space="preserve">2024</x:t>
    </x:r>
    <x:r>
      <x:rPr>
        <x:b/>
        <x:sz val="9"/>
        <x:color rgb="FF000000"/>
        <x:rFont val="Segoe UI"/>
        <x:family val="2"/>
      </x:rPr>
      <x:t xml:space="preserve">p</x:t>
    </x:r>
  </x:si>
  <x:si>
    <x:r>
      <x:t xml:space="preserve">2025</x:t>
    </x:r>
    <x:r>
      <x:rPr>
        <x:b/>
        <x:sz val="9"/>
        <x:color rgb="FF000000"/>
        <x:rFont val="Segoe UI"/>
        <x:family val="2"/>
      </x:rPr>
      <x:t xml:space="preserve">pr</x:t>
    </x:r>
  </x:si>
  <x:si>
    <x:r>
      <x:t xml:space="preserve">Fuente : </x:t>
    </x:r>
    <x:r>
      <x:rPr>
        <x:sz val="9"/>
        <x:color indexed="8"/>
        <x:rFont val="Segoe UI"/>
        <x:family val="2"/>
      </x:rPr>
      <x:t xml:space="preserve">DANE, Cuentas nacionales</x:t>
    </x:r>
  </x:si>
  <x:si>
    <x:r>
      <x:rPr>
        <x:sz val="9"/>
        <x:color rgb="FF000000"/>
        <x:rFont val="Segoe UI"/>
        <x:family val="2"/>
      </x:rPr>
      <x:t xml:space="preserve">1</x:t>
    </x:r>
    <x:r>
      <x:rPr>
        <x:sz val="9"/>
        <x:color indexed="8"/>
        <x:rFont val="Segoe UI"/>
        <x:family val="2"/>
      </x:rPr>
      <x:t xml:space="preserve"> Las tasas de variación son logarítmicas, la agregación del total nacional se pondera a través de la composición del valor agregado por actividad económica.</x:t>
    </x:r>
  </x:si>
  <x:si>
    <x:r>
      <x:rPr>
        <x:sz val="9"/>
        <x:rFont val="Segoe UI"/>
        <x:family val="2"/>
      </x:rPr>
      <x:t xml:space="preserve">pp</x:t>
    </x:r>
    <x:r>
      <x:rPr>
        <x:sz val="9"/>
        <x:rFont val="Segoe UI"/>
        <x:family val="2"/>
      </x:rPr>
      <x:t xml:space="preserve"> puntos porcentuales</x:t>
    </x:r>
  </x:si>
  <x:si>
    <x:r>
      <x:t xml:space="preserve">Fecha de actualización: </x:t>
    </x:r>
    <x:r>
      <x:rPr>
        <x:sz val="9"/>
        <x:rFont val="Segoe UI"/>
        <x:family val="2"/>
      </x:rPr>
      <x:t xml:space="preserve">31 de marzo de 2026</x:t>
    </x:r>
  </x:si>
  <x:si>
    <x:r>
      <x:t xml:space="preserve">Actividad Económica</x:t>
    </x:r>
    <x:r>
      <x:rPr>
        <x:b/>
        <x:sz val="10"/>
        <x:color rgb="FF000000"/>
        <x:rFont val="Segoe UI"/>
        <x:family val="2"/>
      </x:rPr>
      <x:t xml:space="preserve">1</x:t>
    </x:r>
  </x:si>
  <x:si>
    <x:r>
      <x:t xml:space="preserve">Valor Agregado Bruto</x:t>
    </x:r>
    <x:r>
      <x:rPr>
        <x:b/>
        <x:sz val="10"/>
        <x:color rgb="FF000000"/>
        <x:rFont val="Segoe UI"/>
        <x:family val="2"/>
      </x:rPr>
      <x:t xml:space="preserve">2</x:t>
    </x:r>
  </x:si>
  <x:si>
    <x:t xml:space="preserve">Composición del trabajo</x:t>
  </x:si>
  <x:si>
    <x:t xml:space="preserve">Horas trabajadas</x:t>
  </x:si>
  <x:si>
    <x:t xml:space="preserve">Laboral Total </x:t>
  </x:si>
  <x:si>
    <x:t xml:space="preserve">Capital TIC</x:t>
  </x:si>
  <x:si>
    <x:t xml:space="preserve">Capital No TIC</x:t>
  </x:si>
  <x:si>
    <x:t xml:space="preserve">Capital Total</x:t>
  </x:si>
  <x:si>
    <x:t xml:space="preserve">Agricultura, ganadería, caza, silvicultura y pesca</x:t>
  </x:si>
  <x:si>
    <x:t xml:space="preserve">Minería y extracción</x:t>
  </x:si>
  <x:si>
    <x:t xml:space="preserve">Industrias manufactureras</x:t>
  </x:si>
  <x:si>
    <x:t xml:space="preserve">Electricidad, gas y agua</x:t>
  </x:si>
  <x:si>
    <x:t xml:space="preserve">Construcción</x:t>
  </x:si>
  <x:si>
    <x:t xml:space="preserve">Comercio, hoteles y restaurantes</x:t>
  </x:si>
  <x:si>
    <x:t xml:space="preserve">Transporte, almacenamiento y comunicaciones</x:t>
  </x:si>
  <x:si>
    <x:t xml:space="preserve">Intermediación financiera, actividades inmobiliarias, empresariales y de alquiler</x:t>
  </x:si>
  <x:si>
    <x:t xml:space="preserve">Actividades de servicios sociales, comunales y personales </x:t>
  </x:si>
  <x:si>
    <x:t xml:space="preserve">Total de la economía</x:t>
  </x:si>
  <x:si>
    <x:r>
      <x:t xml:space="preserve">Fuente : </x:t>
    </x:r>
    <x:r>
      <x:rPr>
        <x:sz val="9"/>
        <x:color indexed="8"/>
        <x:rFont val="Segoe UI"/>
        <x:family val="2"/>
      </x:rPr>
      <x:t xml:space="preserve">DANE, cuentas nacionales</x:t>
    </x:r>
  </x:si>
  <x:si>
    <x:r>
      <x:rPr>
        <x:sz val="9"/>
        <x:color indexed="8"/>
        <x:rFont val="Segoe UI"/>
        <x:family val="2"/>
      </x:rPr>
      <x:t xml:space="preserve">1</x:t>
    </x:r>
    <x:r>
      <x:rPr>
        <x:sz val="9"/>
        <x:color indexed="8"/>
        <x:rFont val="Segoe UI"/>
        <x:family val="2"/>
      </x:rPr>
      <x:t xml:space="preserve"> Las agregaciones de las actividades económicas corresponden a la clasificación CIIU 3.0 y KLEMS</x:t>
    </x:r>
  </x:si>
  <x:si>
    <x:r>
      <x:rPr>
        <x:sz val="9"/>
        <x:color rgb="FF000000"/>
        <x:rFont val="Segoe UI"/>
        <x:family val="2"/>
      </x:rPr>
      <x:t xml:space="preserve">2</x:t>
    </x:r>
    <x:r>
      <x:rPr>
        <x:sz val="9"/>
        <x:color indexed="8"/>
        <x:rFont val="Segoe UI"/>
        <x:family val="2"/>
      </x:rPr>
      <x:t xml:space="preserve"> Las tasas de variación son logarítmicas, la agregación del total nacional se pondera a través de la composición del valor agregado por actividad económica.</x:t>
    </x:r>
  </x:si>
  <x:si>
    <x:r>
      <x:rPr>
        <x:sz val="9"/>
        <x:color rgb="FF000000"/>
        <x:rFont val="Segoe UI"/>
        <x:family val="2"/>
      </x:rPr>
      <x:t xml:space="preserve">pr </x:t>
    </x:r>
    <x:r>
      <x:rPr>
        <x:sz val="9"/>
        <x:color rgb="FF000000"/>
        <x:rFont val="Segoe UI"/>
        <x:family val="2"/>
      </x:rPr>
      <x:t xml:space="preserve">preliminar</x:t>
    </x:r>
  </x:si>
  <x:si>
    <x:r>
      <x:t xml:space="preserve">2005-2024</x:t>
    </x:r>
    <x:r>
      <x:rPr>
        <x:b/>
        <x:sz val="9"/>
        <x:rFont val="Segoe UI"/>
        <x:family val="2"/>
      </x:rPr>
      <x:t xml:space="preserve">p</x:t>
    </x:r>
  </x:si>
  <x:si>
    <x:r>
      <x:t xml:space="preserve">Producción</x:t>
    </x:r>
    <x:r>
      <x:rPr>
        <x:b/>
        <x:sz val="10"/>
        <x:color rgb="FF000000"/>
        <x:rFont val="Segoe UI"/>
        <x:family val="2"/>
      </x:rPr>
      <x:t xml:space="preserve">1</x:t>
    </x:r>
  </x:si>
  <x:si>
    <x:t xml:space="preserve">Consumos intermedios</x:t>
  </x:si>
  <x:si>
    <x:t xml:space="preserve">Aporte al crecimiento de la producción (pp)</x:t>
  </x:si>
  <x:si>
    <x:t xml:space="preserve">Mujeres</x:t>
  </x:si>
  <x:si>
    <x:t xml:space="preserve">Hombres</x:t>
  </x:si>
  <x:si>
    <x:r>
      <x:rPr>
        <x:sz val="9"/>
        <x:color rgb="FF000000"/>
        <x:rFont val="Segoe UI"/>
        <x:family val="2"/>
      </x:rPr>
      <x:t xml:space="preserve">p</x:t>
    </x:r>
    <x:r>
      <x:rPr>
        <x:sz val="9"/>
        <x:color indexed="8"/>
        <x:rFont val="Segoe UI"/>
        <x:family val="2"/>
      </x:rPr>
      <x:t xml:space="preserve"> provisional</x:t>
    </x:r>
  </x:si>
  <x:si>
    <x:r>
      <x:t xml:space="preserve">Actividad Económica</x:t>
    </x:r>
    <x:r>
      <x:rPr>
        <x:b/>
        <x:sz val="8"/>
        <x:color rgb="FF000000"/>
        <x:rFont val="Segoe UI"/>
        <x:family val="2"/>
      </x:rPr>
      <x:t xml:space="preserve">1</x:t>
    </x:r>
  </x:si>
  <x:si>
    <x:r>
      <x:t xml:space="preserve">Producción</x:t>
    </x:r>
    <x:r>
      <x:rPr>
        <x:b/>
        <x:sz val="10"/>
        <x:color rgb="FF000000"/>
        <x:rFont val="Segoe UI"/>
        <x:family val="2"/>
      </x:rPr>
      <x:t xml:space="preserve">2</x:t>
    </x:r>
  </x:si>
  <x:si>
    <x:t xml:space="preserve">Energía</x:t>
  </x:si>
  <x:si>
    <x:t xml:space="preserve">Materiales</x:t>
  </x:si>
  <x:si>
    <x:t xml:space="preserve">Servicios</x:t>
  </x:si>
  <x:si>
    <x:t xml:space="preserve">Consumo intermedio Total</x:t>
  </x:si>
  <x:si>
    <x:r>
      <x:rPr>
        <x:sz val="9"/>
        <x:color indexed="8"/>
        <x:rFont val="Segoe UI"/>
        <x:family val="2"/>
      </x:rPr>
      <x:t xml:space="preserve">1</x:t>
    </x:r>
    <x:r>
      <x:rPr>
        <x:sz val="9"/>
        <x:color indexed="8"/>
        <x:rFont val="Segoe UI"/>
        <x:family val="2"/>
      </x:rPr>
      <x:t xml:space="preserve"> Las agregaciones de las actividades económicas corresponden a la clasificación  CIIU 3.0 y KLEMS</x:t>
    </x:r>
  </x:si>
  <x:si>
    <x:r>
      <x:rPr>
        <x:sz val="9"/>
        <x:color rgb="FF000000"/>
        <x:rFont val="Segoe UI"/>
        <x:family val="2"/>
      </x:rPr>
      <x:t xml:space="preserve">2 </x:t>
    </x:r>
    <x:r>
      <x:rPr>
        <x:sz val="9"/>
        <x:color indexed="8"/>
        <x:rFont val="Segoe UI"/>
        <x:family val="2"/>
      </x:rPr>
      <x:t xml:space="preserve">Las tasas de variación son logarítmicas, la agregación del total nacional se pondera a través de la composición del valor agregado por actividad económica.</x:t>
    </x:r>
  </x:si>
  <x:si>
    <x:r>
      <x:t xml:space="preserve">2024</x:t>
    </x:r>
    <x:r>
      <x:rPr>
        <x:b/>
        <x:sz val="9"/>
        <x:rFont val="Segoe UI"/>
        <x:family val="2"/>
      </x:rPr>
      <x:t xml:space="preserve">p</x:t>
    </x:r>
  </x:si>
</x:sst>
</file>

<file path=xl/styles.xml><?xml version="1.0" encoding="utf-8"?>
<x:styleSheet xmlns:x="http://schemas.openxmlformats.org/spreadsheetml/2006/main">
  <x:numFmts count="9">
    <x:numFmt numFmtId="164" formatCode="_(* #,##0.00_);_(* \(#,##0.00\);_(* &quot;-&quot;??_);_(@_)"/>
    <x:numFmt numFmtId="165" formatCode="#,##0.0"/>
    <x:numFmt numFmtId="166" formatCode="_(* #,##0.0_);_(* \(#,##0.0\);_(* &quot;-&quot;??_);_(@_)"/>
    <x:numFmt numFmtId="200" formatCode="0.00"/>
    <x:numFmt numFmtId="201" formatCode="0.00%"/>
    <x:numFmt numFmtId="202" formatCode="0"/>
    <x:numFmt numFmtId="203" formatCode="#,##0"/>
    <x:numFmt numFmtId="204" formatCode="0.00000"/>
    <x:numFmt numFmtId="205" formatCode="0.0000000"/>
  </x:numFmts>
  <x:fonts count="54">
    <x:font>
      <x:sz val="11"/>
      <x:color theme="1"/>
      <x:name val="Calibri"/>
    </x:font>
    <x:font>
      <x:sz val="11"/>
      <x:color theme="1"/>
      <x:name val="Calibri"/>
    </x:font>
    <x:font>
      <x:sz val="9"/>
      <x:color rgb="FF002288"/>
      <x:name val="Segoe UI"/>
    </x:font>
    <x:font>
      <x:b/>
      <x:sz val="16"/>
      <x:name val="Segoe UI"/>
    </x:font>
    <x:font>
      <x:b/>
      <x:sz val="20"/>
      <x:name val="Segoe UI"/>
    </x:font>
    <x:font>
      <x:b/>
      <x:sz val="11"/>
      <x:color rgb="FF000000"/>
      <x:name val="Segoe UI"/>
    </x:font>
    <x:font>
      <x:sz val="10"/>
      <x:name val="Times New Roman"/>
    </x:font>
    <x:font>
      <x:b/>
      <x:sz val="22"/>
      <x:color theme="0"/>
      <x:name val="Segoe UI"/>
    </x:font>
    <x:font>
      <x:b/>
      <x:sz val="9"/>
      <x:color rgb="FF000000"/>
      <x:name val="Segoe UI"/>
    </x:font>
    <x:font>
      <x:sz val="9"/>
      <x:color rgb="FF000000"/>
      <x:name val="Segoe UI"/>
    </x:font>
    <x:font>
      <x:sz val="9"/>
      <x:color indexed="8"/>
      <x:name val="Segoe UI"/>
    </x:font>
    <x:font>
      <x:b/>
      <x:sz val="9"/>
      <x:color indexed="8"/>
      <x:name val="Segoe UI"/>
    </x:font>
    <x:font>
      <x:b/>
      <x:sz val="9"/>
      <x:color indexed="8"/>
      <x:name val="Segoe UI"/>
    </x:font>
    <x:font>
      <x:sz val="9"/>
      <x:color indexed="8"/>
      <x:name val="Segoe UI"/>
    </x:font>
    <x:font>
      <x:b/>
      <x:sz val="9"/>
      <x:name val="Segoe UI"/>
    </x:font>
    <x:font>
      <x:sz val="9"/>
      <x:color rgb="FF000000"/>
      <x:name val="Segoe UI"/>
    </x:font>
    <x:font>
      <x:sz val="10"/>
      <x:name val="Arial"/>
    </x:font>
    <x:font>
      <x:sz val="10"/>
      <x:color theme="4" tint="-0.24998"/>
      <x:name val="Segoe UI"/>
    </x:font>
    <x:font>
      <x:sz val="10"/>
      <x:name val="Segoe UI"/>
    </x:font>
    <x:font>
      <x:b/>
      <x:sz val="14"/>
      <x:color theme="0"/>
      <x:name val="Segoe UI"/>
    </x:font>
    <x:font>
      <x:b/>
      <x:sz val="12"/>
      <x:name val="Segoe UI"/>
    </x:font>
    <x:font>
      <x:b/>
      <x:sz val="11"/>
      <x:color rgb="FFB6004B"/>
      <x:name val="Segoe UI"/>
    </x:font>
    <x:font>
      <x:sz val="10"/>
      <x:color indexed="12"/>
      <x:name val="Arial"/>
    </x:font>
    <x:font>
      <x:sz val="11"/>
      <x:name val="Segoe UI"/>
    </x:font>
    <x:font>
      <x:sz val="11"/>
      <x:color theme="10"/>
      <x:name val="Calibri"/>
    </x:font>
    <x:font>
      <x:sz val="11"/>
      <x:color theme="10"/>
      <x:name val="Segoe UI"/>
    </x:font>
    <x:font>
      <x:b/>
      <x:sz val="10"/>
      <x:color rgb="FF000000"/>
      <x:name val="Segoe UI"/>
    </x:font>
    <x:font>
      <x:sz val="11"/>
      <x:name val="Calibri"/>
    </x:font>
    <x:font>
      <x:sz val="8"/>
      <x:name val="Calibri"/>
    </x:font>
    <x:font>
      <x:b/>
      <x:sz val="10"/>
      <x:color rgb="FF000000"/>
      <x:name val="Segoe UI"/>
    </x:font>
    <x:font>
      <x:sz val="9"/>
      <x:name val="Segoe UI"/>
    </x:font>
    <x:font>
      <x:sz val="11"/>
      <x:name val="Segoe UI"/>
    </x:font>
    <x:font>
      <x:sz val="9"/>
      <x:name val="Segoe UI"/>
    </x:font>
    <x:font>
      <x:sz val="11"/>
      <x:name val="Segoe UI"/>
    </x:font>
    <x:font>
      <x:b/>
      <x:sz val="9"/>
      <x:color rgb="FF000000"/>
      <x:name val="Segoe UI"/>
    </x:font>
    <x:font>
      <x:b/>
      <x:sz val="9"/>
      <x:name val="Segoe UI"/>
    </x:font>
    <x:font>
      <x:sz val="10"/>
      <x:color rgb="FF000000"/>
      <x:name val="Segoe UI"/>
    </x:font>
    <x:font>
      <x:b/>
      <x:sz val="8"/>
      <x:color rgb="FF000000"/>
      <x:name val="Segoe UI"/>
    </x:font>
    <x:font>
      <x:b/>
      <x:sz val="11"/>
      <x:color rgb="FFB6004B"/>
      <x:name val="Segoe UI"/>
    </x:font>
    <x:font>
      <x:sz val="11"/>
      <x:color rgb="FF000000"/>
      <x:name val="Segoe UI"/>
    </x:font>
    <x:font>
      <x:sz val="11"/>
      <x:color rgb="FF000000"/>
      <x:name val="Segoe UI"/>
    </x:font>
    <x:font>
      <x:b/>
      <x:sz val="16"/>
      <x:color rgb="FFFFFFFF"/>
      <x:name val="Aptos"/>
    </x:font>
    <x:font>
      <x:i/>
      <x:sz val="10"/>
      <x:color rgb="FF1F2937"/>
      <x:name val="Aptos"/>
    </x:font>
    <x:font>
      <x:b/>
      <x:sz val="9"/>
      <x:color rgb="FFFFFFFF"/>
      <x:name val="Aptos"/>
    </x:font>
    <x:font>
      <x:sz val="11"/>
      <x:color theme="1"/>
      <x:name val="Aptos"/>
    </x:font>
    <x:font>
      <x:sz val="9"/>
      <x:color theme="1"/>
      <x:name val="Aptos"/>
    </x:font>
    <x:font>
      <x:sz val="9"/>
      <x:color rgb="FF1F2937"/>
      <x:name val="Aptos"/>
    </x:font>
    <x:font>
      <x:b/>
      <x:sz val="9"/>
      <x:color rgb="FF1F2937"/>
      <x:name val="Aptos"/>
    </x:font>
    <x:font>
      <x:sz val="9"/>
      <x:color rgb="FF1F4E78"/>
      <x:name val="Aptos"/>
    </x:font>
    <x:font>
      <x:sz val="9"/>
      <x:color rgb="FF375623"/>
      <x:name val="Aptos"/>
    </x:font>
    <x:font>
      <x:sz val="11"/>
      <x:color rgb="FF1F4E78"/>
      <x:name val="Calibri"/>
    </x:font>
    <x:font>
      <x:sz val="11"/>
      <x:color rgb="FF1F4E78"/>
      <x:name val="Aptos"/>
    </x:font>
    <x:font>
      <x:sz val="9"/>
      <x:color rgb="FFFFFFFF"/>
      <x:name val="Aptos"/>
    </x:font>
    <x:font>
      <x:b/>
      <x:sz val="9"/>
      <x:color rgb="FF375623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B6004B"/>
      </x:patternFill>
    </x:fill>
    <x:fill>
      <x:patternFill patternType="solid">
        <x:fgColor rgb="FFDBDBDB"/>
      </x:patternFill>
    </x:fill>
    <x:fill>
      <x:patternFill patternType="solid">
        <x:fgColor theme="0" tint="-0.15"/>
      </x:patternFill>
    </x:fill>
    <x:fill>
      <x:patternFill patternType="solid">
        <x:fgColor theme="0" tint="-0.04999"/>
      </x:patternFill>
    </x:fill>
    <x:fill>
      <x:patternFill patternType="solid">
        <x:fgColor rgb="FFC00055"/>
      </x:patternFill>
    </x:fill>
    <x:fill>
      <x:patternFill patternType="solid">
        <x:fgColor rgb="FFF3F4F6"/>
      </x:patternFill>
    </x:fill>
    <x:fill>
      <x:patternFill patternType="solid">
        <x:fgColor rgb="FF4B5563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E5E7EB"/>
      </x:patternFill>
    </x:fill>
    <x:fill>
      <x:patternFill patternType="solid">
        <x:fgColor rgb="FFC00055"/>
      </x:patternFill>
    </x:fill>
  </x:fills>
  <x:borders count="61">
    <x:border/>
    <x:border>
      <x:left style="thin">
        <x:color auto="1"/>
      </x:left>
      <x:bottom style="thin">
        <x:color auto="1"/>
      </x:bottom>
    </x:border>
    <x:border>
      <x:right style="thin">
        <x:color auto="1"/>
      </x:right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auto="1"/>
      </x:bottom>
    </x:border>
    <x:border>
      <x:right style="thin">
        <x:color indexed="64"/>
      </x:right>
      <x:bottom style="thin">
        <x:color auto="1"/>
      </x:bottom>
    </x:border>
    <x:border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>
      <x:left style="thin">
        <x:color indexed="9"/>
      </x:left>
      <x:bottom style="thin">
        <x:color auto="1"/>
      </x:bottom>
    </x:border>
    <x:border>
      <x:left style="thin">
        <x:color indexed="64"/>
      </x:left>
    </x:border>
    <x:border>
      <x:left style="thin">
        <x:color indexed="64"/>
      </x:left>
      <x:bottom style="thin">
        <x:color indexed="64"/>
      </x:bottom>
    </x:border>
    <x:border>
      <x:bottom style="thin">
        <x:color indexed="9"/>
      </x:bottom>
    </x:border>
    <x:border>
      <x:left style="thin">
        <x:color indexed="9"/>
      </x:left>
      <x:right style="thin">
        <x:color indexed="9"/>
      </x:right>
    </x:border>
    <x:border>
      <x:left style="thin">
        <x:color indexed="9"/>
      </x:left>
    </x:border>
    <x:border>
      <x:left style="thin">
        <x:color auto="1"/>
      </x:left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top style="thin">
        <x:color rgb="FF000000"/>
      </x:top>
      <x:bottom style="thin">
        <x:color indexed="64"/>
      </x:bottom>
    </x:border>
    <x:border>
      <x:right style="thin">
        <x:color rgb="FF000000"/>
      </x:right>
      <x:top style="thin">
        <x:color rgb="FF000000"/>
      </x:top>
      <x:bottom style="thin">
        <x:color indexed="64"/>
      </x:bottom>
    </x:border>
    <x:border>
      <x:left style="thin">
        <x:color rgb="FF000000"/>
      </x:lef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right style="thin">
        <x:color indexed="64"/>
      </x:right>
      <x:top style="thin">
        <x:color auto="1"/>
      </x:top>
    </x:border>
    <x:border>
      <x:left style="thin">
        <x:color auto="1"/>
      </x:left>
      <x:top style="thin">
        <x:color indexed="9"/>
      </x:top>
    </x:border>
    <x:border>
      <x:left style="thin">
        <x:color indexed="9"/>
      </x:left>
      <x:top style="thin">
        <x:color indexed="9"/>
      </x:top>
    </x:border>
    <x:border>
      <x:top style="thin">
        <x:color indexed="9"/>
      </x:top>
    </x:border>
    <x:border>
      <x:left style="thin">
        <x:color auto="1"/>
      </x:left>
      <x:right style="thin">
        <x:color indexed="9"/>
      </x:right>
      <x:top style="thin">
        <x:color auto="1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auto="1"/>
      </x:top>
      <x:bottom style="thin">
        <x:color indexed="9"/>
      </x:bottom>
    </x:border>
    <x:border>
      <x:left style="thin">
        <x:color indexed="9"/>
      </x:left>
      <x:right style="thin">
        <x:color indexed="64"/>
      </x:right>
      <x:top style="thin">
        <x:color auto="1"/>
      </x:top>
      <x:bottom style="thin">
        <x:color indexed="9"/>
      </x:bottom>
    </x:border>
    <x:border>
      <x:left style="thin">
        <x:color auto="1"/>
      </x:left>
      <x:top style="thin">
        <x:color indexed="9"/>
      </x:top>
    </x:border>
    <x:border>
      <x:left style="thin">
        <x:color indexed="9"/>
      </x:left>
      <x:top style="thin">
        <x:color indexed="9"/>
      </x:top>
    </x:border>
    <x:border>
      <x:top style="thin">
        <x:color indexed="9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left style="thin">
        <x:color auto="1"/>
      </x:left>
      <x:right style="thin">
        <x:color indexed="9"/>
      </x:right>
      <x:top style="thin">
        <x:color auto="1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auto="1"/>
      </x:top>
      <x:bottom style="thin">
        <x:color indexed="9"/>
      </x:bottom>
    </x:border>
    <x:border>
      <x:left style="thin">
        <x:color indexed="9"/>
      </x:left>
      <x:top style="thin">
        <x:color auto="1"/>
      </x:top>
      <x:bottom style="thin">
        <x:color indexed="9"/>
      </x:bottom>
    </x:border>
    <x:border>
      <x:top style="thin">
        <x:color indexed="9"/>
      </x:top>
      <x:bottom style="thin">
        <x:color indexed="9"/>
      </x:bottom>
    </x:border>
    <x:border>
      <x:left style="thin">
        <x:color auto="1"/>
      </x:left>
      <x:right style="thin">
        <x:color indexed="9"/>
      </x:right>
      <x:top style="thin">
        <x:color auto="1"/>
      </x:top>
    </x:border>
    <x:border>
      <x:left style="thin">
        <x:color indexed="9"/>
      </x:left>
      <x:right style="thin">
        <x:color indexed="64"/>
      </x:right>
      <x:top style="thin">
        <x:color auto="1"/>
      </x:top>
      <x:bottom style="thin">
        <x:color indexed="9"/>
      </x:bottom>
    </x:border>
    <x:border>
      <x:left style="thin">
        <x:color auto="1"/>
      </x:left>
      <x:right style="thin">
        <x:color indexed="9"/>
      </x:right>
    </x:border>
    <x:border>
      <x:left style="thin">
        <x:color indexed="9"/>
      </x:left>
      <x:top style="thin">
        <x:color indexed="9"/>
      </x:top>
    </x:border>
    <x:border>
      <x:top style="thin">
        <x:color indexed="9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right style="thin">
        <x:color rgb="FF000000"/>
      </x:right>
      <x:top style="thin">
        <x:color indexed="64"/>
      </x:top>
    </x:border>
    <x:border>
      <x:left style="thin">
        <x:color auto="1"/>
      </x:left>
      <x:right style="thin">
        <x:color indexed="9"/>
      </x:right>
      <x:top style="thin">
        <x:color auto="1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auto="1"/>
      </x:top>
      <x:bottom style="thin">
        <x:color indexed="9"/>
      </x:bottom>
    </x:border>
    <x:border>
      <x:left style="thin">
        <x:color indexed="9"/>
      </x:left>
      <x:top style="thin">
        <x:color auto="1"/>
      </x:top>
      <x:bottom style="thin">
        <x:color indexed="9"/>
      </x:bottom>
    </x:border>
    <x:border>
      <x:left style="thin">
        <x:color auto="1"/>
      </x:left>
      <x:top style="thin">
        <x:color indexed="9"/>
      </x:top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9"/>
      </x:left>
      <x:top style="thin">
        <x:color indexed="9"/>
      </x:top>
    </x:border>
    <x:border>
      <x:right style="thin">
        <x:color rgb="FF000000"/>
      </x:right>
      <x:top style="thin">
        <x:color indexed="64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</x:borders>
  <x:cellStyleXfs count="8">
    <x:xf numFmtId="0" fontId="0" fillId="0" borderId="0"/>
    <x:xf numFmtId="164" fontId="1" fillId="0" borderId="0" applyFont="0" applyFill="0" applyBorder="0" applyAlignment="0" applyProtection="0"/>
    <x:xf numFmtId="0" fontId="6" fillId="0" borderId="0"/>
    <x:xf numFmtId="0" fontId="16" fillId="0" borderId="0"/>
    <x:xf numFmtId="0" fontId="22" fillId="0" borderId="0" applyNumberFormat="0" applyFill="0" applyBorder="0" applyAlignment="0" applyProtection="0">
      <x:alignment vertical="top"/>
      <x:protection locked="0"/>
    </x:xf>
    <x:xf numFmtId="0" fontId="24" fillId="0" borderId="0" applyNumberFormat="0" applyFill="0" applyBorder="0" applyAlignment="0" applyProtection="0"/>
    <x:xf numFmtId="0" fontId="27" fillId="0" borderId="0"/>
    <x:xf numFmtId="0" fontId="16" fillId="0" borderId="0"/>
  </x:cellStyleXfs>
  <x:cellXfs count="316">
    <x:xf numFmtId="0" fontId="0" fillId="0" borderId="0" xfId="0"/>
    <x:xf numFmtId="0" fontId="2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 wrapText="1"/>
    </x:xf>
    <x:xf numFmtId="0" fontId="5" fillId="2" borderId="0" xfId="0" applyFont="1" applyFill="1" applyAlignment="1">
      <x:alignment horizontal="left" vertical="center"/>
    </x:xf>
    <x:xf numFmtId="0" fontId="8" fillId="2" borderId="0" xfId="0" applyFont="1" applyFill="1" applyAlignment="1">
      <x:alignment horizontal="left" vertical="center" wrapText="1"/>
    </x:xf>
    <x:xf numFmtId="3" fontId="9" fillId="2" borderId="0" xfId="0" applyNumberFormat="1" applyFont="1" applyFill="1" applyAlignment="1">
      <x:alignment horizontal="left" vertical="center" wrapText="1"/>
    </x:xf>
    <x:xf numFmtId="165" fontId="9" fillId="2" borderId="0" xfId="0" applyNumberFormat="1" applyFont="1" applyFill="1" applyAlignment="1">
      <x:alignment horizontal="center" vertical="center" wrapText="1"/>
    </x:xf>
    <x:xf numFmtId="3" fontId="9" fillId="2" borderId="0" xfId="0" applyNumberFormat="1" applyFont="1" applyFill="1" applyAlignment="1">
      <x:alignment horizontal="center" vertical="center" wrapText="1"/>
    </x:xf>
    <x:xf numFmtId="0" fontId="2" fillId="0" borderId="0" xfId="0" applyFont="1" applyAlignment="1">
      <x:alignment horizontal="left" vertical="center"/>
    </x:xf>
    <x:xf numFmtId="0" fontId="0" fillId="2" borderId="0" xfId="0" applyFill="1"/>
    <x:xf numFmtId="166" fontId="2" fillId="2" borderId="0" xfId="1" applyNumberFormat="1" applyFont="1" applyFill="1" applyAlignment="1">
      <x:alignment horizontal="center" vertical="center"/>
    </x:xf>
    <x:xf numFmtId="3" fontId="14" fillId="2" borderId="1" xfId="0" applyNumberFormat="1" applyFont="1" applyFill="1" applyBorder="1" applyAlignment="1">
      <x:alignment vertical="center"/>
    </x:xf>
    <x:xf numFmtId="0" fontId="10" fillId="2" borderId="0" xfId="0" applyFont="1" applyFill="1" applyAlignment="1">
      <x:alignment vertical="center"/>
    </x:xf>
    <x:xf numFmtId="0" fontId="10" fillId="2" borderId="0" xfId="0" applyFont="1" applyFill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11" fillId="2" borderId="2" xfId="0" applyFont="1" applyFill="1" applyBorder="1" applyAlignment="1">
      <x:alignment horizontal="center" vertical="center"/>
    </x:xf>
    <x:xf numFmtId="0" fontId="18" fillId="2" borderId="0" xfId="3" applyFont="1" applyFill="1"/>
    <x:xf numFmtId="0" fontId="23" fillId="2" borderId="0" xfId="3" applyFont="1" applyFill="1" applyAlignment="1">
      <x:alignment vertical="center"/>
    </x:xf>
    <x:xf numFmtId="0" fontId="17" fillId="2" borderId="0" xfId="3" applyFont="1" applyFill="1"/>
    <x:xf numFmtId="0" fontId="25" fillId="0" borderId="0" xfId="5" applyFont="1" applyFill="1" applyBorder="1" applyAlignment="1">
      <x:alignment horizontal="right"/>
    </x:xf>
    <x:xf numFmtId="3" fontId="9" fillId="4" borderId="0" xfId="0" applyNumberFormat="1" applyFont="1" applyFill="1" applyAlignment="1">
      <x:alignment horizontal="left" vertical="center" wrapText="1"/>
    </x:xf>
    <x:xf numFmtId="2" fontId="9" fillId="4" borderId="0" xfId="0" applyNumberFormat="1" applyFont="1" applyFill="1" applyAlignment="1">
      <x:alignment horizontal="center" vertical="center" wrapText="1"/>
    </x:xf>
    <x:xf numFmtId="2" fontId="9" fillId="2" borderId="0" xfId="0" applyNumberFormat="1" applyFont="1" applyFill="1" applyAlignment="1">
      <x:alignment horizontal="center" vertical="center" wrapText="1"/>
    </x:xf>
    <x:xf numFmtId="0" fontId="8" fillId="2" borderId="1" xfId="0" applyFont="1" applyFill="1" applyBorder="1" applyAlignment="1">
      <x:alignment horizontal="left" vertical="center" wrapText="1"/>
    </x:xf>
    <x:xf numFmtId="0" fontId="26" fillId="2" borderId="3" xfId="0" applyFont="1" applyFill="1" applyBorder="1" applyAlignment="1">
      <x:alignment horizontal="center" vertical="center" wrapText="1"/>
    </x:xf>
    <x:xf numFmtId="0" fontId="13" fillId="2" borderId="0" xfId="0" applyFont="1" applyFill="1" applyAlignment="1">
      <x:alignment horizontal="left" vertical="center"/>
    </x:xf>
    <x:xf numFmtId="2" fontId="9" fillId="4" borderId="2" xfId="0" applyNumberFormat="1" applyFont="1" applyFill="1" applyBorder="1" applyAlignment="1">
      <x:alignment horizontal="center" vertical="center" wrapText="1"/>
    </x:xf>
    <x:xf numFmtId="2" fontId="9" fillId="2" borderId="2" xfId="0" applyNumberFormat="1" applyFont="1" applyFill="1" applyBorder="1" applyAlignment="1">
      <x:alignment horizontal="center" vertical="center" wrapText="1"/>
    </x:xf>
    <x:xf numFmtId="0" fontId="13" fillId="2" borderId="2" xfId="0" applyFont="1" applyFill="1" applyBorder="1" applyAlignment="1">
      <x:alignment horizontal="left" vertical="center"/>
    </x:xf>
    <x:xf numFmtId="0" fontId="2" fillId="2" borderId="4" xfId="0" applyFont="1" applyFill="1" applyBorder="1" applyAlignment="1">
      <x:alignment horizontal="center" vertical="center"/>
    </x:xf>
    <x:xf numFmtId="0" fontId="13" fillId="2" borderId="3" xfId="0" applyFont="1" applyFill="1" applyBorder="1" applyAlignment="1">
      <x:alignment horizontal="left" vertical="center"/>
    </x:xf>
    <x:xf numFmtId="0" fontId="2" fillId="2" borderId="5" xfId="0" applyFont="1" applyFill="1" applyBorder="1" applyAlignment="1">
      <x:alignment horizontal="center" vertical="center"/>
    </x:xf>
    <x:xf numFmtId="0" fontId="13" fillId="2" borderId="6" xfId="0" applyFont="1" applyFill="1" applyBorder="1" applyAlignment="1">
      <x:alignment horizontal="left" vertical="center"/>
    </x:xf>
    <x:xf numFmtId="4" fontId="2" fillId="2" borderId="0" xfId="0" applyNumberFormat="1" applyFont="1" applyFill="1" applyAlignment="1">
      <x:alignment horizontal="left" vertical="center"/>
    </x:xf>
    <x:xf numFmtId="4" fontId="9" fillId="4" borderId="0" xfId="0" applyNumberFormat="1" applyFont="1" applyFill="1" applyAlignment="1">
      <x:alignment horizontal="center" vertical="center" wrapText="1"/>
    </x:xf>
    <x:xf numFmtId="4" fontId="9" fillId="2" borderId="0" xfId="0" applyNumberFormat="1" applyFont="1" applyFill="1" applyAlignment="1">
      <x:alignment horizontal="center" vertical="center" wrapText="1"/>
    </x:xf>
    <x:xf numFmtId="0" fontId="26" fillId="2" borderId="6" xfId="0" applyFont="1" applyFill="1" applyBorder="1" applyAlignment="1">
      <x:alignment horizontal="center" vertical="center" wrapText="1"/>
    </x:xf>
    <x:xf numFmtId="0" fontId="10" fillId="2" borderId="0" xfId="0" applyFont="1" applyFill="1" applyAlignment="1">
      <x:alignment horizontal="left" vertical="center"/>
    </x:xf>
    <x:xf numFmtId="0" fontId="23" fillId="2" borderId="4" xfId="3" applyFont="1" applyFill="1" applyBorder="1" applyAlignment="1">
      <x:alignment vertical="center"/>
    </x:xf>
    <x:xf numFmtId="0" fontId="23" fillId="2" borderId="5" xfId="3" applyFont="1" applyFill="1" applyBorder="1" applyAlignment="1">
      <x:alignment vertical="center"/>
    </x:xf>
    <x:xf numFmtId="4" fontId="2" fillId="2" borderId="0" xfId="0" applyNumberFormat="1" applyFont="1" applyFill="1" applyAlignment="1">
      <x:alignment vertical="center"/>
    </x:xf>
    <x:xf numFmtId="4" fontId="9" fillId="2" borderId="2" xfId="0" applyNumberFormat="1" applyFont="1" applyFill="1" applyBorder="1" applyAlignment="1">
      <x:alignment horizontal="center" vertical="center" wrapText="1"/>
    </x:xf>
    <x:xf numFmtId="4" fontId="9" fillId="4" borderId="2" xfId="0" applyNumberFormat="1" applyFont="1" applyFill="1" applyBorder="1" applyAlignment="1">
      <x:alignment horizontal="center" vertical="center" wrapText="1"/>
    </x:xf>
    <x:xf numFmtId="4" fontId="8" fillId="2" borderId="0" xfId="0" applyNumberFormat="1" applyFont="1" applyFill="1" applyAlignment="1">
      <x:alignment horizontal="center" vertical="center" wrapText="1"/>
    </x:xf>
    <x:xf numFmtId="4" fontId="8" fillId="2" borderId="2" xfId="0" applyNumberFormat="1" applyFont="1" applyFill="1" applyBorder="1" applyAlignment="1">
      <x:alignment horizontal="center" vertical="center" wrapText="1"/>
    </x:xf>
    <x:xf numFmtId="1" fontId="8" fillId="4" borderId="0" xfId="0" applyNumberFormat="1" applyFont="1" applyFill="1" applyAlignment="1">
      <x:alignment horizontal="center" vertical="center" wrapText="1"/>
    </x:xf>
    <x:xf numFmtId="1" fontId="8" fillId="2" borderId="0" xfId="0" applyNumberFormat="1" applyFont="1" applyFill="1" applyAlignment="1">
      <x:alignment horizontal="center" vertical="center" wrapText="1"/>
    </x:xf>
    <x:xf numFmtId="1" fontId="8" fillId="5" borderId="0" xfId="0" applyNumberFormat="1" applyFont="1" applyFill="1" applyAlignment="1">
      <x:alignment horizontal="center" vertical="center" wrapText="1"/>
    </x:xf>
    <x:xf numFmtId="2" fontId="9" fillId="5" borderId="0" xfId="0" applyNumberFormat="1" applyFont="1" applyFill="1" applyAlignment="1">
      <x:alignment horizontal="center" vertical="center" wrapText="1"/>
    </x:xf>
    <x:xf numFmtId="2" fontId="9" fillId="5" borderId="2" xfId="0" applyNumberFormat="1" applyFont="1" applyFill="1" applyBorder="1" applyAlignment="1">
      <x:alignment horizontal="center" vertical="center" wrapText="1"/>
    </x:xf>
    <x:xf numFmtId="0" fontId="26" fillId="2" borderId="0" xfId="0" applyFont="1" applyFill="1" applyAlignment="1">
      <x:alignment horizontal="center" vertical="center" wrapText="1"/>
    </x:xf>
    <x:xf numFmtId="0" fontId="11" fillId="0" borderId="8" xfId="0" applyFont="1" applyBorder="1" applyAlignment="1">
      <x:alignment horizontal="center" vertical="center"/>
    </x:xf>
    <x:xf numFmtId="0" fontId="11" fillId="2" borderId="5" xfId="0" applyFont="1" applyFill="1" applyBorder="1" applyAlignment="1">
      <x:alignment horizontal="center" vertical="center"/>
    </x:xf>
    <x:xf numFmtId="0" fontId="8" fillId="2" borderId="9" xfId="0" applyFont="1" applyFill="1" applyBorder="1" applyAlignment="1">
      <x:alignment horizontal="left" vertical="center" wrapText="1"/>
    </x:xf>
    <x:xf numFmtId="0" fontId="8" fillId="4" borderId="9" xfId="0" applyFont="1" applyFill="1" applyBorder="1" applyAlignment="1">
      <x:alignment horizontal="left" vertical="center" wrapText="1"/>
    </x:xf>
    <x:xf numFmtId="0" fontId="8" fillId="2" borderId="10" xfId="0" applyFont="1" applyFill="1" applyBorder="1" applyAlignment="1">
      <x:alignment horizontal="left" vertical="center" wrapText="1"/>
    </x:xf>
    <x:xf numFmtId="3" fontId="8" fillId="2" borderId="4" xfId="0" applyNumberFormat="1" applyFont="1" applyFill="1" applyBorder="1" applyAlignment="1">
      <x:alignment horizontal="left" vertical="center" wrapText="1"/>
    </x:xf>
    <x:xf numFmtId="2" fontId="12" fillId="2" borderId="4" xfId="0" applyNumberFormat="1" applyFont="1" applyFill="1" applyBorder="1" applyAlignment="1">
      <x:alignment horizontal="center" vertical="center" wrapText="1"/>
    </x:xf>
    <x:xf numFmtId="2" fontId="12" fillId="2" borderId="5" xfId="0" applyNumberFormat="1" applyFont="1" applyFill="1" applyBorder="1" applyAlignment="1">
      <x:alignment horizontal="center" vertical="center" wrapText="1"/>
    </x:xf>
    <x:xf numFmtId="0" fontId="17" fillId="2" borderId="4" xfId="3" applyFont="1" applyFill="1" applyBorder="1"/>
    <x:xf numFmtId="0" fontId="21" fillId="2" borderId="10" xfId="3" applyFont="1" applyFill="1" applyBorder="1" applyAlignment="1">
      <x:alignment horizontal="right" vertical="center"/>
    </x:xf>
    <x:xf numFmtId="0" fontId="25" fillId="2" borderId="4" xfId="5" applyFont="1" applyFill="1" applyBorder="1" applyAlignment="1">
      <x:alignment vertical="center"/>
    </x:xf>
    <x:xf numFmtId="0" fontId="17" fillId="5" borderId="10" xfId="3" applyFont="1" applyFill="1" applyBorder="1"/>
    <x:xf numFmtId="0" fontId="18" fillId="5" borderId="4" xfId="3" applyFont="1" applyFill="1" applyBorder="1"/>
    <x:xf numFmtId="0" fontId="18" fillId="5" borderId="5" xfId="3" applyFont="1" applyFill="1" applyBorder="1"/>
    <x:xf numFmtId="3" fontId="30" fillId="2" borderId="9" xfId="0" applyNumberFormat="1" applyFont="1" applyFill="1" applyBorder="1" applyAlignment="1">
      <x:alignment vertical="center"/>
    </x:xf>
    <x:xf numFmtId="0" fontId="4" fillId="2" borderId="11" xfId="0" applyFont="1" applyFill="1" applyBorder="1" applyAlignment="1">
      <x:alignment vertical="center" wrapText="1"/>
    </x:xf>
    <x:xf numFmtId="0" fontId="8" fillId="2" borderId="9" xfId="0" applyFont="1" applyFill="1" applyBorder="1" applyAlignment="1">
      <x:alignment horizontal="center" vertical="center" wrapText="1"/>
    </x:xf>
    <x:xf numFmtId="0" fontId="8" fillId="5" borderId="9" xfId="0" applyFont="1" applyFill="1" applyBorder="1" applyAlignment="1">
      <x:alignment horizontal="left" vertical="center" wrapText="1"/>
    </x:xf>
    <x:xf numFmtId="0" fontId="13" fillId="2" borderId="9" xfId="0" applyFont="1" applyFill="1" applyBorder="1" applyAlignment="1">
      <x:alignment vertical="center"/>
    </x:xf>
    <x:xf numFmtId="0" fontId="2" fillId="2" borderId="4" xfId="0" applyFont="1" applyFill="1" applyBorder="1" applyAlignment="1">
      <x:alignment horizontal="left" vertical="center"/>
    </x:xf>
    <x:xf numFmtId="0" fontId="10" fillId="0" borderId="12" xfId="0" applyFont="1" applyBorder="1" applyAlignment="1">
      <x:alignment vertical="center"/>
    </x:xf>
    <x:xf numFmtId="0" fontId="10" fillId="0" borderId="12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3" fillId="2" borderId="14" xfId="0" applyFont="1" applyFill="1" applyBorder="1" applyAlignment="1">
      <x:alignment vertical="center"/>
    </x:xf>
    <x:xf numFmtId="0" fontId="9" fillId="2" borderId="14" xfId="0" applyFont="1" applyFill="1" applyBorder="1" applyAlignment="1">
      <x:alignment vertical="center"/>
    </x:xf>
    <x:xf numFmtId="3" fontId="14" fillId="2" borderId="10" xfId="0" applyNumberFormat="1" applyFont="1" applyFill="1" applyBorder="1" applyAlignment="1">
      <x:alignment vertical="center"/>
    </x:xf>
    <x:xf numFmtId="0" fontId="8" fillId="4" borderId="14" xfId="0" applyFont="1" applyFill="1" applyBorder="1" applyAlignment="1">
      <x:alignment horizontal="left" vertical="center" wrapText="1"/>
    </x:xf>
    <x:xf numFmtId="0" fontId="8" fillId="2" borderId="14" xfId="0" applyFont="1" applyFill="1" applyBorder="1" applyAlignment="1">
      <x:alignment horizontal="left" vertical="center" wrapText="1"/>
    </x:xf>
    <x:xf numFmtId="4" fontId="8" fillId="2" borderId="4" xfId="0" applyNumberFormat="1" applyFont="1" applyFill="1" applyBorder="1" applyAlignment="1">
      <x:alignment horizontal="center" vertical="center" wrapText="1"/>
    </x:xf>
    <x:xf numFmtId="4" fontId="9" fillId="5" borderId="0" xfId="0" applyNumberFormat="1" applyFont="1" applyFill="1" applyAlignment="1">
      <x:alignment horizontal="center" vertical="center" wrapText="1"/>
    </x:xf>
    <x:xf numFmtId="0" fontId="14" fillId="6" borderId="4" xfId="0" applyFont="1" applyFill="1" applyBorder="1" applyAlignment="1">
      <x:alignment vertical="center"/>
    </x:xf>
    <x:xf numFmtId="0" fontId="14" fillId="6" borderId="0" xfId="0" applyFont="1" applyFill="1" applyAlignment="1">
      <x:alignment vertical="center"/>
    </x:xf>
    <x:xf numFmtId="0" fontId="14" fillId="6" borderId="0" xfId="0" applyFont="1" applyFill="1" applyAlignment="1">
      <x:alignment vertical="center" wrapText="1"/>
    </x:xf>
    <x:xf numFmtId="0" fontId="14" fillId="6" borderId="7" xfId="0" applyFont="1" applyFill="1" applyBorder="1" applyAlignment="1">
      <x:alignment vertical="center"/>
    </x:xf>
    <x:xf numFmtId="0" fontId="14" fillId="6" borderId="2" xfId="0" applyFont="1" applyFill="1" applyBorder="1" applyAlignment="1">
      <x:alignment vertical="center" wrapText="1"/>
    </x:xf>
    <x:xf numFmtId="0" fontId="14" fillId="6" borderId="10" xfId="0" applyFont="1" applyFill="1" applyBorder="1" applyAlignment="1">
      <x:alignment vertical="center"/>
    </x:xf>
    <x:xf numFmtId="0" fontId="14" fillId="6" borderId="5" xfId="0" applyFont="1" applyFill="1" applyBorder="1" applyAlignment="1">
      <x:alignment vertical="center"/>
    </x:xf>
    <x:xf numFmtId="0" fontId="14" fillId="6" borderId="2" xfId="0" applyFont="1" applyFill="1" applyBorder="1" applyAlignment="1">
      <x:alignment vertical="center"/>
    </x:xf>
    <x:xf numFmtId="4" fontId="36" fillId="4" borderId="0" xfId="0" applyNumberFormat="1" applyFont="1" applyFill="1" applyAlignment="1">
      <x:alignment horizontal="center" vertical="center" wrapText="1"/>
    </x:xf>
    <x:xf numFmtId="4" fontId="36" fillId="2" borderId="0" xfId="0" applyNumberFormat="1" applyFont="1" applyFill="1" applyAlignment="1">
      <x:alignment horizontal="center" vertical="center" wrapText="1"/>
    </x:xf>
    <x:xf numFmtId="1" fontId="8" fillId="2" borderId="4" xfId="0" applyNumberFormat="1" applyFont="1" applyFill="1" applyBorder="1" applyAlignment="1">
      <x:alignment horizontal="center" vertical="center" wrapText="1"/>
    </x:xf>
    <x:xf numFmtId="4" fontId="9" fillId="2" borderId="4" xfId="0" applyNumberFormat="1" applyFont="1" applyFill="1" applyBorder="1" applyAlignment="1">
      <x:alignment horizontal="center" vertical="center" wrapText="1"/>
    </x:xf>
    <x:xf numFmtId="2" fontId="9" fillId="2" borderId="4" xfId="0" applyNumberFormat="1" applyFont="1" applyFill="1" applyBorder="1" applyAlignment="1">
      <x:alignment horizontal="center" vertical="center" wrapText="1"/>
    </x:xf>
    <x:xf numFmtId="2" fontId="9" fillId="2" borderId="5" xfId="0" applyNumberFormat="1" applyFont="1" applyFill="1" applyBorder="1" applyAlignment="1">
      <x:alignment horizontal="center" vertical="center" wrapText="1"/>
    </x:xf>
    <x:xf numFmtId="0" fontId="14" fillId="6" borderId="10" xfId="0" applyFont="1" applyFill="1" applyBorder="1" applyAlignment="1">
      <x:alignment horizontal="left" vertical="center"/>
    </x:xf>
    <x:xf numFmtId="3" fontId="36" fillId="4" borderId="0" xfId="0" applyNumberFormat="1" applyFont="1" applyFill="1" applyAlignment="1">
      <x:alignment horizontal="left" vertical="center" wrapText="1"/>
    </x:xf>
    <x:xf numFmtId="3" fontId="36" fillId="2" borderId="0" xfId="0" applyNumberFormat="1" applyFont="1" applyFill="1" applyAlignment="1">
      <x:alignment horizontal="left" vertical="center" wrapText="1"/>
    </x:xf>
    <x:xf numFmtId="4" fontId="36" fillId="2" borderId="2" xfId="0" applyNumberFormat="1" applyFont="1" applyFill="1" applyBorder="1" applyAlignment="1">
      <x:alignment horizontal="center" vertical="center" wrapText="1"/>
    </x:xf>
    <x:xf numFmtId="4" fontId="36" fillId="4" borderId="2" xfId="0" applyNumberFormat="1" applyFont="1" applyFill="1" applyBorder="1" applyAlignment="1">
      <x:alignment horizontal="center" vertical="center" wrapText="1"/>
    </x:xf>
    <x:xf numFmtId="3" fontId="26" fillId="2" borderId="4" xfId="0" applyNumberFormat="1" applyFont="1" applyFill="1" applyBorder="1" applyAlignment="1">
      <x:alignment horizontal="left" vertical="center" wrapText="1"/>
    </x:xf>
    <x:xf numFmtId="4" fontId="26" fillId="2" borderId="4" xfId="0" applyNumberFormat="1" applyFont="1" applyFill="1" applyBorder="1" applyAlignment="1">
      <x:alignment horizontal="center" vertical="center" wrapText="1"/>
    </x:xf>
    <x:xf numFmtId="4" fontId="26" fillId="2" borderId="0" xfId="0" applyNumberFormat="1" applyFont="1" applyFill="1" applyAlignment="1">
      <x:alignment horizontal="center" vertical="center" wrapText="1"/>
    </x:xf>
    <x:xf numFmtId="4" fontId="26" fillId="2" borderId="2" xfId="0" applyNumberFormat="1" applyFont="1" applyFill="1" applyBorder="1" applyAlignment="1">
      <x:alignment horizontal="center" vertical="center" wrapText="1"/>
    </x:xf>
    <x:xf numFmtId="0" fontId="8" fillId="2" borderId="14" xfId="0" applyFont="1" applyFill="1" applyBorder="1" applyAlignment="1">
      <x:alignment horizontal="center" vertical="center" wrapText="1"/>
    </x:xf>
    <x:xf numFmtId="0" fontId="25" fillId="2" borderId="0" xfId="5" applyFont="1" applyFill="1" applyBorder="1" applyAlignment="1">
      <x:alignment vertical="center"/>
    </x:xf>
    <x:xf numFmtId="0" fontId="23" fillId="2" borderId="2" xfId="3" applyFont="1" applyFill="1" applyBorder="1" applyAlignment="1">
      <x:alignment vertical="center"/>
    </x:xf>
    <x:xf numFmtId="0" fontId="14" fillId="6" borderId="14" xfId="0" applyFont="1" applyFill="1" applyBorder="1" applyAlignment="1">
      <x:alignment vertical="center"/>
    </x:xf>
    <x:xf numFmtId="3" fontId="30" fillId="0" borderId="14" xfId="0" applyNumberFormat="1" applyFont="1" applyBorder="1" applyAlignment="1">
      <x:alignment vertical="center"/>
    </x:xf>
    <x:xf numFmtId="0" fontId="39" fillId="2" borderId="0" xfId="3" applyFont="1" applyFill="1" applyAlignment="1">
      <x:alignment vertical="center"/>
    </x:xf>
    <x:xf numFmtId="0" fontId="26" fillId="2" borderId="17" xfId="0" applyFont="1" applyFill="1" applyBorder="1" applyAlignment="1">
      <x:alignment horizontal="center" vertical="center" wrapText="1"/>
    </x:xf>
    <x:xf numFmtId="0" fontId="26" fillId="2" borderId="18" xfId="0" applyFont="1" applyFill="1" applyBorder="1" applyAlignment="1">
      <x:alignment horizontal="center" vertical="center" wrapText="1"/>
    </x:xf>
    <x:xf numFmtId="0" fontId="26" fillId="2" borderId="21" xfId="0" applyFont="1" applyFill="1" applyBorder="1" applyAlignment="1">
      <x:alignment horizontal="center" vertical="center" wrapText="1"/>
    </x:xf>
    <x:xf numFmtId="0" fontId="26" fillId="2" borderId="21" xfId="0" applyFont="1" applyFill="1" applyBorder="1" applyAlignment="1">
      <x:alignment vertical="center" wrapText="1"/>
    </x:xf>
    <x:xf numFmtId="0" fontId="38" fillId="2" borderId="24" xfId="7" applyFont="1" applyFill="1" applyBorder="1" applyAlignment="1">
      <x:alignment horizontal="right" vertical="center"/>
    </x:xf>
    <x:xf numFmtId="0" fontId="38" fillId="2" borderId="23" xfId="0" applyFont="1" applyFill="1" applyBorder="1" applyAlignment="1">
      <x:alignment horizontal="left" vertical="center"/>
    </x:xf>
    <x:xf numFmtId="0" fontId="33" fillId="2" borderId="23" xfId="0" applyFont="1" applyFill="1" applyBorder="1" applyAlignment="1">
      <x:alignment vertical="center"/>
    </x:xf>
    <x:xf numFmtId="0" fontId="33" fillId="2" borderId="25" xfId="0" applyFont="1" applyFill="1" applyBorder="1" applyAlignment="1">
      <x:alignment vertical="center"/>
    </x:xf>
    <x:xf numFmtId="0" fontId="21" fillId="2" borderId="9" xfId="3" applyFont="1" applyFill="1" applyBorder="1" applyAlignment="1">
      <x:alignment horizontal="right" vertical="center"/>
    </x:xf>
    <x:xf numFmtId="0" fontId="23" fillId="2" borderId="23" xfId="3" applyFont="1" applyFill="1" applyBorder="1" applyAlignment="1">
      <x:alignment vertical="center"/>
    </x:xf>
    <x:xf numFmtId="0" fontId="23" fillId="2" borderId="25" xfId="3" applyFont="1" applyFill="1" applyBorder="1" applyAlignment="1">
      <x:alignment vertical="center"/>
    </x:xf>
    <x:xf numFmtId="0" fontId="21" fillId="2" borderId="9" xfId="3" applyFont="1" applyFill="1" applyBorder="1" applyAlignment="1">
      <x:alignment horizontal="right" vertical="center"/>
    </x:xf>
    <x:xf numFmtId="3" fontId="30" fillId="2" borderId="26" xfId="0" applyNumberFormat="1" applyFont="1" applyFill="1" applyBorder="1" applyAlignment="1">
      <x:alignment vertical="center"/>
    </x:xf>
    <x:xf numFmtId="0" fontId="14" fillId="6" borderId="9" xfId="0" applyFont="1" applyFill="1" applyBorder="1" applyAlignment="1">
      <x:alignment vertical="center"/>
    </x:xf>
    <x:xf numFmtId="0" fontId="14" fillId="6" borderId="25" xfId="0" applyFont="1" applyFill="1" applyBorder="1" applyAlignment="1">
      <x:alignment vertical="center"/>
    </x:xf>
    <x:xf numFmtId="2" fontId="9" fillId="4" borderId="25" xfId="0" applyNumberFormat="1" applyFont="1" applyFill="1" applyBorder="1" applyAlignment="1">
      <x:alignment horizontal="center" vertical="center" wrapText="1"/>
    </x:xf>
    <x:xf numFmtId="0" fontId="12" fillId="2" borderId="29" xfId="0" applyFont="1" applyFill="1" applyBorder="1" applyAlignment="1">
      <x:alignment vertical="center"/>
    </x:xf>
    <x:xf numFmtId="0" fontId="10" fillId="2" borderId="30" xfId="0" applyFont="1" applyFill="1" applyBorder="1" applyAlignment="1">
      <x:alignment horizontal="left" vertical="center"/>
    </x:xf>
    <x:xf numFmtId="0" fontId="10" fillId="2" borderId="30" xfId="0" applyFont="1" applyFill="1" applyBorder="1" applyAlignment="1">
      <x:alignment vertical="center"/>
    </x:xf>
    <x:xf numFmtId="0" fontId="10" fillId="2" borderId="30" xfId="0" applyFont="1" applyFill="1" applyBorder="1" applyAlignment="1">
      <x:alignment horizontal="center" vertical="center"/>
    </x:xf>
    <x:xf numFmtId="0" fontId="11" fillId="2" borderId="30" xfId="0" applyFont="1" applyFill="1" applyBorder="1" applyAlignment="1">
      <x:alignment horizontal="center" vertical="center"/>
    </x:xf>
    <x:xf numFmtId="0" fontId="11" fillId="2" borderId="31" xfId="0" applyFont="1" applyFill="1" applyBorder="1" applyAlignment="1">
      <x:alignment horizontal="center" vertical="center"/>
    </x:xf>
    <x:xf numFmtId="3" fontId="30" fillId="2" borderId="32" xfId="0" applyNumberFormat="1" applyFont="1" applyFill="1" applyBorder="1" applyAlignment="1">
      <x:alignment vertical="center"/>
    </x:xf>
    <x:xf numFmtId="3" fontId="30" fillId="0" borderId="9" xfId="0" applyNumberFormat="1" applyFont="1" applyBorder="1" applyAlignment="1">
      <x:alignment vertical="center"/>
    </x:xf>
    <x:xf numFmtId="0" fontId="14" fillId="6" borderId="35" xfId="0" applyFont="1" applyFill="1" applyBorder="1" applyAlignment="1">
      <x:alignment vertical="center"/>
    </x:xf>
    <x:xf numFmtId="0" fontId="14" fillId="6" borderId="36" xfId="0" applyFont="1" applyFill="1" applyBorder="1" applyAlignment="1">
      <x:alignment vertical="center"/>
    </x:xf>
    <x:xf numFmtId="0" fontId="8" fillId="4" borderId="37" xfId="0" applyFont="1" applyFill="1" applyBorder="1" applyAlignment="1">
      <x:alignment horizontal="left" vertical="center" wrapText="1"/>
    </x:xf>
    <x:xf numFmtId="3" fontId="9" fillId="4" borderId="35" xfId="0" applyNumberFormat="1" applyFont="1" applyFill="1" applyBorder="1" applyAlignment="1">
      <x:alignment horizontal="left" vertical="center" wrapText="1"/>
    </x:xf>
    <x:xf numFmtId="2" fontId="9" fillId="4" borderId="35" xfId="0" applyNumberFormat="1" applyFont="1" applyFill="1" applyBorder="1" applyAlignment="1">
      <x:alignment horizontal="center" vertical="center" wrapText="1"/>
    </x:xf>
    <x:xf numFmtId="2" fontId="9" fillId="4" borderId="36" xfId="0" applyNumberFormat="1" applyFont="1" applyFill="1" applyBorder="1" applyAlignment="1">
      <x:alignment horizontal="center" vertical="center" wrapText="1"/>
    </x:xf>
    <x:xf numFmtId="0" fontId="12" fillId="2" borderId="38" xfId="0" applyFont="1" applyFill="1" applyBorder="1" applyAlignment="1">
      <x:alignment vertical="center"/>
    </x:xf>
    <x:xf numFmtId="0" fontId="10" fillId="2" borderId="39" xfId="0" applyFont="1" applyFill="1" applyBorder="1" applyAlignment="1">
      <x:alignment vertical="center"/>
    </x:xf>
    <x:xf numFmtId="0" fontId="10" fillId="2" borderId="39" xfId="0" applyFont="1" applyFill="1" applyBorder="1" applyAlignment="1">
      <x:alignment horizontal="center" vertical="center"/>
    </x:xf>
    <x:xf numFmtId="0" fontId="11" fillId="2" borderId="39" xfId="0" applyFont="1" applyFill="1" applyBorder="1" applyAlignment="1">
      <x:alignment horizontal="center" vertical="center"/>
    </x:xf>
    <x:xf numFmtId="0" fontId="11" fillId="2" borderId="40" xfId="0" applyFont="1" applyFill="1" applyBorder="1" applyAlignment="1">
      <x:alignment horizontal="center" vertical="center"/>
    </x:xf>
    <x:xf numFmtId="0" fontId="11" fillId="2" borderId="36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vertical="center"/>
    </x:xf>
    <x:xf numFmtId="0" fontId="11" fillId="2" borderId="43" xfId="0" applyFont="1" applyFill="1" applyBorder="1" applyAlignment="1">
      <x:alignment horizontal="center" vertical="center"/>
    </x:xf>
    <x:xf numFmtId="0" fontId="13" fillId="2" borderId="44" xfId="0" applyFont="1" applyFill="1" applyBorder="1" applyAlignment="1">
      <x:alignment vertical="center"/>
    </x:xf>
    <x:xf numFmtId="0" fontId="14" fillId="6" borderId="47" xfId="0" applyFont="1" applyFill="1" applyBorder="1" applyAlignment="1">
      <x:alignment vertical="center"/>
    </x:xf>
    <x:xf numFmtId="0" fontId="14" fillId="6" borderId="48" xfId="0" applyFont="1" applyFill="1" applyBorder="1" applyAlignment="1">
      <x:alignment vertical="center"/>
    </x:xf>
    <x:xf numFmtId="4" fontId="36" fillId="4" borderId="48" xfId="0" applyNumberFormat="1" applyFont="1" applyFill="1" applyBorder="1" applyAlignment="1">
      <x:alignment horizontal="center" vertical="center" wrapText="1"/>
    </x:xf>
    <x:xf numFmtId="0" fontId="12" fillId="2" borderId="50" xfId="0" applyFont="1" applyFill="1" applyBorder="1" applyAlignment="1">
      <x:alignment vertical="center"/>
    </x:xf>
    <x:xf numFmtId="0" fontId="10" fillId="2" borderId="51" xfId="0" applyFont="1" applyFill="1" applyBorder="1" applyAlignment="1">
      <x:alignment vertical="center"/>
    </x:xf>
    <x:xf numFmtId="0" fontId="10" fillId="2" borderId="51" xfId="0" applyFont="1" applyFill="1" applyBorder="1" applyAlignment="1">
      <x:alignment horizontal="center" vertical="center"/>
    </x:xf>
    <x:xf numFmtId="0" fontId="11" fillId="2" borderId="51" xfId="0" applyFont="1" applyFill="1" applyBorder="1" applyAlignment="1">
      <x:alignment horizontal="center" vertical="center"/>
    </x:xf>
    <x:xf numFmtId="0" fontId="11" fillId="2" borderId="52" xfId="0" applyFont="1" applyFill="1" applyBorder="1" applyAlignment="1">
      <x:alignment horizontal="center" vertical="center"/>
    </x:xf>
    <x:xf numFmtId="0" fontId="11" fillId="2" borderId="47" xfId="0" applyFont="1" applyFill="1" applyBorder="1" applyAlignment="1">
      <x:alignment horizontal="center" vertical="center"/>
    </x:xf>
    <x:xf numFmtId="0" fontId="11" fillId="2" borderId="48" xfId="0" applyFont="1" applyFill="1" applyBorder="1" applyAlignment="1">
      <x:alignment horizontal="center" vertical="center"/>
    </x:xf>
    <x:xf numFmtId="4" fontId="9" fillId="4" borderId="48" xfId="0" applyNumberFormat="1" applyFont="1" applyFill="1" applyBorder="1" applyAlignment="1">
      <x:alignment horizontal="center" vertical="center" wrapText="1"/>
    </x:xf>
    <x:xf numFmtId="3" fontId="30" fillId="2" borderId="53" xfId="0" applyNumberFormat="1" applyFont="1" applyFill="1" applyBorder="1" applyAlignment="1">
      <x:alignment vertical="center"/>
    </x:xf>
    <x:xf numFmtId="0" fontId="14" fillId="6" borderId="54" xfId="0" applyFont="1" applyFill="1" applyBorder="1" applyAlignment="1">
      <x:alignment vertical="center"/>
    </x:xf>
    <x:xf numFmtId="0" fontId="14" fillId="6" borderId="55" xfId="0" applyFont="1" applyFill="1" applyBorder="1" applyAlignment="1">
      <x:alignment vertical="center"/>
    </x:xf>
    <x:xf numFmtId="0" fontId="14" fillId="6" borderId="0" xfId="0" applyFont="1" applyFill="1" applyBorder="1" applyAlignment="1">
      <x:alignment vertical="center"/>
    </x:xf>
    <x:xf numFmtId="0" fontId="14" fillId="6" borderId="0" xfId="0" applyFont="1" applyFill="1" applyBorder="1" applyAlignment="1">
      <x:alignment vertical="center" wrapText="1"/>
    </x:xf>
    <x:xf numFmtId="0" fontId="19" fillId="3" borderId="24" xfId="3" applyFont="1" applyFill="1" applyBorder="1" applyAlignment="1">
      <x:alignment horizontal="center" vertical="center" wrapText="1"/>
    </x:xf>
    <x:xf numFmtId="0" fontId="19" fillId="3" borderId="23" xfId="3" applyFont="1" applyFill="1" applyBorder="1" applyAlignment="1">
      <x:alignment horizontal="center" vertical="center" wrapText="1"/>
    </x:xf>
    <x:xf numFmtId="0" fontId="19" fillId="3" borderId="25" xfId="3" applyFont="1" applyFill="1" applyBorder="1" applyAlignment="1">
      <x:alignment horizontal="center" vertical="center" wrapText="1"/>
    </x:xf>
    <x:xf numFmtId="0" fontId="19" fillId="3" borderId="10" xfId="3" applyFont="1" applyFill="1" applyBorder="1" applyAlignment="1">
      <x:alignment horizontal="center" vertical="center" wrapText="1"/>
    </x:xf>
    <x:xf numFmtId="0" fontId="19" fillId="3" borderId="4" xfId="3" applyFont="1" applyFill="1" applyBorder="1" applyAlignment="1">
      <x:alignment horizontal="center" vertical="center" wrapText="1"/>
    </x:xf>
    <x:xf numFmtId="0" fontId="19" fillId="3" borderId="5" xfId="3" applyFont="1" applyFill="1" applyBorder="1" applyAlignment="1">
      <x:alignment horizontal="center" vertical="center" wrapText="1"/>
    </x:xf>
    <x:xf numFmtId="0" fontId="20" fillId="5" borderId="24" xfId="3" applyFont="1" applyFill="1" applyBorder="1" applyAlignment="1">
      <x:alignment horizontal="center" vertical="center" wrapText="1"/>
    </x:xf>
    <x:xf numFmtId="0" fontId="20" fillId="5" borderId="23" xfId="3" applyFont="1" applyFill="1" applyBorder="1" applyAlignment="1">
      <x:alignment horizontal="center" vertical="center" wrapText="1"/>
    </x:xf>
    <x:xf numFmtId="0" fontId="20" fillId="5" borderId="25" xfId="3" applyFont="1" applyFill="1" applyBorder="1" applyAlignment="1">
      <x:alignment horizontal="center" vertical="center" wrapText="1"/>
    </x:xf>
    <x:xf numFmtId="0" fontId="20" fillId="5" borderId="9" xfId="3" applyFont="1" applyFill="1" applyBorder="1" applyAlignment="1">
      <x:alignment horizontal="center" vertical="center" wrapText="1"/>
    </x:xf>
    <x:xf numFmtId="0" fontId="20" fillId="5" borderId="0" xfId="3" applyFont="1" applyFill="1" applyAlignment="1">
      <x:alignment horizontal="center" vertical="center" wrapText="1"/>
    </x:xf>
    <x:xf numFmtId="0" fontId="20" fillId="5" borderId="2" xfId="3" applyFont="1" applyFill="1" applyBorder="1" applyAlignment="1">
      <x:alignment horizontal="center" vertical="center" wrapText="1"/>
    </x:xf>
    <x:xf numFmtId="0" fontId="7" fillId="3" borderId="27" xfId="2" applyFont="1" applyFill="1" applyBorder="1" applyAlignment="1">
      <x:alignment horizontal="center" vertical="center"/>
    </x:xf>
    <x:xf numFmtId="0" fontId="7" fillId="3" borderId="28" xfId="2" applyFont="1" applyFill="1" applyBorder="1" applyAlignment="1">
      <x:alignment horizontal="center" vertical="center"/>
    </x:xf>
    <x:xf numFmtId="0" fontId="26" fillId="2" borderId="25" xfId="0" applyFont="1" applyFill="1" applyBorder="1" applyAlignment="1">
      <x:alignment horizontal="center" vertical="center" wrapText="1"/>
    </x:xf>
    <x:xf numFmtId="0" fontId="26" fillId="2" borderId="5" xfId="0" applyFont="1" applyFill="1" applyBorder="1" applyAlignment="1">
      <x:alignment horizontal="center" vertical="center" wrapText="1"/>
    </x:xf>
    <x:xf numFmtId="0" fontId="26" fillId="2" borderId="23" xfId="0" applyFont="1" applyFill="1" applyBorder="1" applyAlignment="1">
      <x:alignment horizontal="center" vertical="center" wrapText="1"/>
    </x:xf>
    <x:xf numFmtId="0" fontId="26" fillId="2" borderId="4" xfId="0" applyFont="1" applyFill="1" applyBorder="1" applyAlignment="1">
      <x:alignment horizontal="center" vertical="center" wrapText="1"/>
    </x:xf>
    <x:xf numFmtId="0" fontId="8" fillId="2" borderId="24" xfId="0" applyFont="1" applyFill="1" applyBorder="1" applyAlignment="1">
      <x:alignment horizontal="center" vertical="center" wrapText="1"/>
    </x:xf>
    <x:xf numFmtId="0" fontId="8" fillId="2" borderId="9" xfId="0" applyFont="1" applyFill="1" applyBorder="1" applyAlignment="1">
      <x:alignment horizontal="center" vertical="center" wrapText="1"/>
    </x:xf>
    <x:xf numFmtId="0" fontId="8" fillId="2" borderId="10" xfId="0" applyFont="1" applyFill="1" applyBorder="1" applyAlignment="1">
      <x:alignment horizontal="center" vertical="center" wrapText="1"/>
    </x:xf>
    <x:xf numFmtId="0" fontId="26" fillId="2" borderId="0" xfId="0" applyFont="1" applyFill="1" applyAlignment="1">
      <x:alignment horizontal="center" vertical="center" wrapText="1"/>
    </x:xf>
    <x:xf numFmtId="0" fontId="13" fillId="2" borderId="32" xfId="0" applyFont="1" applyFill="1" applyBorder="1" applyAlignment="1">
      <x:alignment horizontal="left" vertical="center"/>
    </x:xf>
    <x:xf numFmtId="0" fontId="13" fillId="2" borderId="34" xfId="0" applyFont="1" applyFill="1" applyBorder="1" applyAlignment="1">
      <x:alignment horizontal="left" vertical="center"/>
    </x:xf>
    <x:xf numFmtId="0" fontId="8" fillId="2" borderId="37" xfId="0" applyFont="1" applyFill="1" applyBorder="1" applyAlignment="1">
      <x:alignment horizontal="center" vertical="center" wrapText="1"/>
    </x:xf>
    <x:xf numFmtId="0" fontId="26" fillId="2" borderId="35" xfId="0" applyFont="1" applyFill="1" applyBorder="1" applyAlignment="1">
      <x:alignment horizontal="center" vertical="center" wrapText="1"/>
    </x:xf>
    <x:xf numFmtId="0" fontId="7" fillId="3" borderId="33" xfId="2" applyFont="1" applyFill="1" applyBorder="1" applyAlignment="1">
      <x:alignment horizontal="center" vertical="center"/>
    </x:xf>
    <x:xf numFmtId="0" fontId="7" fillId="3" borderId="34" xfId="2" applyFont="1" applyFill="1" applyBorder="1" applyAlignment="1">
      <x:alignment horizontal="center" vertical="center"/>
    </x:xf>
    <x:xf numFmtId="0" fontId="26" fillId="2" borderId="6" xfId="0" applyFont="1" applyFill="1" applyBorder="1" applyAlignment="1">
      <x:alignment horizontal="center" vertical="center" wrapText="1"/>
    </x:xf>
    <x:xf numFmtId="0" fontId="26" fillId="2" borderId="36" xfId="0" applyFont="1" applyFill="1" applyBorder="1" applyAlignment="1">
      <x:alignment horizontal="center" vertical="center" wrapText="1"/>
    </x:xf>
    <x:xf numFmtId="0" fontId="26" fillId="2" borderId="2" xfId="0" applyFont="1" applyFill="1" applyBorder="1" applyAlignment="1">
      <x:alignment horizontal="center" vertical="center" wrapText="1"/>
    </x:xf>
    <x:xf numFmtId="0" fontId="7" fillId="3" borderId="56" xfId="2" applyFont="1" applyFill="1" applyBorder="1" applyAlignment="1">
      <x:alignment horizontal="center" vertical="center"/>
    </x:xf>
    <x:xf numFmtId="0" fontId="7" fillId="3" borderId="41" xfId="2" applyFont="1" applyFill="1" applyBorder="1" applyAlignment="1">
      <x:alignment horizontal="center" vertical="center"/>
    </x:xf>
    <x:xf numFmtId="0" fontId="8" fillId="2" borderId="15" xfId="0" applyFont="1" applyFill="1" applyBorder="1" applyAlignment="1">
      <x:alignment horizontal="center" vertical="center" wrapText="1"/>
    </x:xf>
    <x:xf numFmtId="0" fontId="8" fillId="2" borderId="19" xfId="0" applyFont="1" applyFill="1" applyBorder="1" applyAlignment="1">
      <x:alignment horizontal="center" vertical="center" wrapText="1"/>
    </x:xf>
    <x:xf numFmtId="0" fontId="8" fillId="2" borderId="20" xfId="0" applyFont="1" applyFill="1" applyBorder="1" applyAlignment="1">
      <x:alignment horizontal="center" vertical="center" wrapText="1"/>
    </x:xf>
    <x:xf numFmtId="0" fontId="26" fillId="2" borderId="16" xfId="0" applyFont="1" applyFill="1" applyBorder="1" applyAlignment="1">
      <x:alignment horizontal="center" vertical="center" wrapText="1"/>
    </x:xf>
    <x:xf numFmtId="0" fontId="26" fillId="2" borderId="0" xfId="0" applyFont="1" applyFill="1" applyBorder="1" applyAlignment="1">
      <x:alignment horizontal="center" vertical="center" wrapText="1"/>
    </x:xf>
    <x:xf numFmtId="0" fontId="26" fillId="2" borderId="21" xfId="0" applyFont="1" applyFill="1" applyBorder="1" applyAlignment="1">
      <x:alignment horizontal="center" vertical="center" wrapText="1"/>
    </x:xf>
    <x:xf numFmtId="0" fontId="26" fillId="2" borderId="17" xfId="0" applyFont="1" applyFill="1" applyBorder="1" applyAlignment="1">
      <x:alignment horizontal="center" vertical="center" wrapText="1"/>
    </x:xf>
    <x:xf numFmtId="0" fontId="26" fillId="2" borderId="22" xfId="0" applyFont="1" applyFill="1" applyBorder="1" applyAlignment="1">
      <x:alignment horizontal="center" vertical="center" wrapText="1"/>
    </x:xf>
    <x:xf numFmtId="0" fontId="26" fillId="2" borderId="47" xfId="0" applyFont="1" applyFill="1" applyBorder="1" applyAlignment="1">
      <x:alignment horizontal="center" vertical="center" wrapText="1"/>
    </x:xf>
    <x:xf numFmtId="0" fontId="26" fillId="2" borderId="49" xfId="0" applyFont="1" applyFill="1" applyBorder="1" applyAlignment="1">
      <x:alignment horizontal="center" vertical="center" wrapText="1"/>
    </x:xf>
    <x:xf numFmtId="0" fontId="7" fillId="3" borderId="45" xfId="2" applyFont="1" applyFill="1" applyBorder="1" applyAlignment="1">
      <x:alignment horizontal="center" vertical="center"/>
    </x:xf>
    <x:xf numFmtId="0" fontId="7" fillId="3" borderId="46" xfId="2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8" fillId="2" borderId="16" xfId="0" applyFont="1" applyFill="1" applyBorder="1" applyAlignment="1">
      <x:alignment horizontal="center" vertical="center" wrapText="1"/>
    </x:xf>
    <x:xf numFmtId="0" fontId="8" fillId="2" borderId="0" xfId="0" applyFont="1" applyFill="1" applyBorder="1" applyAlignment="1">
      <x:alignment horizontal="center" vertical="center" wrapText="1"/>
    </x:xf>
    <x:xf numFmtId="0" fontId="8" fillId="2" borderId="21" xfId="0" applyFont="1" applyFill="1" applyBorder="1" applyAlignment="1">
      <x:alignment horizontal="center" vertical="center" wrapText="1"/>
    </x:xf>
    <x:xf numFmtId="0" fontId="13" fillId="2" borderId="53" xfId="0" applyFont="1" applyFill="1" applyBorder="1" applyAlignment="1">
      <x:alignment horizontal="left" vertical="center"/>
    </x:xf>
    <x:xf numFmtId="0" fontId="13" fillId="2" borderId="46" xfId="0" applyFont="1" applyFill="1" applyBorder="1" applyAlignment="1">
      <x:alignment horizontal="left" vertical="center"/>
    </x:xf>
    <x:xf numFmtId="0" fontId="10" fillId="2" borderId="53" xfId="0" applyFont="1" applyFill="1" applyBorder="1" applyAlignment="1">
      <x:alignment horizontal="left" vertical="center"/>
    </x:xf>
    <x:xf numFmtId="0" fontId="26" fillId="2" borderId="57" xfId="0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1" fillId="7" borderId="0" xfId="0" applyNumberFormat="1" applyFont="1" applyFill="1" applyBorder="1"/>
    <x:xf numFmtId="0" fontId="41" fillId="7" borderId="0" xfId="0" applyNumberFormat="1" applyFont="1" applyFill="1" applyBorder="1" applyAlignment="1">
      <x:alignment horizontal="left"/>
    </x:xf>
    <x:xf numFmtId="0" fontId="41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42" fillId="8" borderId="0" xfId="0" applyNumberFormat="1" applyFont="1" applyFill="1" applyBorder="1"/>
    <x:xf numFmtId="0" fontId="42" fillId="8" borderId="0" xfId="0" applyNumberFormat="1" applyFont="1" applyFill="1" applyBorder="1" applyAlignment="1">
      <x:alignment wrapText="1"/>
    </x:xf>
    <x:xf numFmtId="0" fontId="42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43" fillId="9" borderId="0" xfId="0" applyNumberFormat="1" applyFont="1" applyFill="1" applyBorder="1"/>
    <x:xf numFmtId="0" fontId="43" fillId="9" borderId="58" xfId="0" applyNumberFormat="1" applyFont="1" applyFill="1" applyBorder="1"/>
    <x:xf numFmtId="0" fontId="43" fillId="9" borderId="58" xfId="0" applyNumberFormat="1" applyFont="1" applyFill="1" applyBorder="1" applyAlignment="1">
      <x:alignment wrapText="1"/>
    </x:xf>
    <x:xf numFmtId="0" fontId="43" fillId="9" borderId="58" xfId="0" applyNumberFormat="1" applyFont="1" applyFill="1" applyBorder="1" applyAlignment="1">
      <x:alignment horizontal="center" wrapText="1"/>
    </x:xf>
    <x:xf numFmtId="0" fontId="43" fillId="9" borderId="58" xfId="0" applyNumberFormat="1" applyFont="1" applyFill="1" applyBorder="1" applyAlignment="1">
      <x:alignment horizontal="center" vertical="center" wrapText="1"/>
    </x:xf>
    <x:xf numFmtId="0" fontId="44" fillId="0" borderId="0" xfId="0" applyNumberFormat="1" applyFont="1" applyFill="1" applyBorder="1"/>
    <x:xf numFmtId="0" fontId="45" fillId="0" borderId="0" xfId="0" applyNumberFormat="1" applyFont="1" applyFill="1" applyBorder="1"/>
    <x:xf numFmtId="0" fontId="46" fillId="0" borderId="0" xfId="0" applyNumberFormat="1" applyFont="1" applyFill="1" applyBorder="1"/>
    <x:xf numFmtId="0" fontId="46" fillId="0" borderId="0" xfId="0" applyNumberFormat="1" applyFont="1" applyFill="1" applyBorder="1" applyAlignment="1">
      <x:alignment vertical="center"/>
    </x:xf>
    <x:xf numFmtId="0" fontId="46" fillId="0" borderId="59" xfId="0" applyNumberFormat="1" applyFont="1" applyFill="1" applyBorder="1" applyAlignment="1">
      <x:alignment vertical="center"/>
    </x:xf>
    <x:xf numFmtId="0" fontId="46" fillId="0" borderId="60" xfId="0" applyNumberFormat="1" applyFont="1" applyFill="1" applyBorder="1" applyAlignment="1">
      <x:alignment vertical="center"/>
    </x:xf>
    <x:xf numFmtId="0" fontId="46" fillId="0" borderId="59" xfId="0" applyNumberFormat="1" applyFont="1" applyFill="1" applyBorder="1" applyAlignment="1">
      <x:alignment vertical="center" wrapText="1"/>
    </x:xf>
    <x:xf numFmtId="0" fontId="46" fillId="0" borderId="60" xfId="0" applyNumberFormat="1" applyFont="1" applyFill="1" applyBorder="1" applyAlignment="1">
      <x:alignment vertical="center" wrapText="1"/>
    </x:xf>
    <x:xf numFmtId="0" fontId="47" fillId="0" borderId="59" xfId="0" applyNumberFormat="1" applyFont="1" applyFill="1" applyBorder="1" applyAlignment="1">
      <x:alignment vertical="center"/>
    </x:xf>
    <x:xf numFmtId="0" fontId="47" fillId="0" borderId="6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44" fillId="10" borderId="0" xfId="0" applyNumberFormat="1" applyFont="1" applyFill="1" applyBorder="1" applyAlignment="1">
      <x:alignment wrapText="1"/>
    </x:xf>
    <x:xf numFmtId="0" fontId="45" fillId="10" borderId="0" xfId="0" applyNumberFormat="1" applyFont="1" applyFill="1" applyBorder="1" applyAlignment="1">
      <x:alignment wrapText="1"/>
    </x:xf>
    <x:xf numFmtId="0" fontId="46" fillId="10" borderId="0" xfId="0" applyNumberFormat="1" applyFont="1" applyFill="1" applyBorder="1" applyAlignment="1">
      <x:alignment wrapText="1"/>
    </x:xf>
    <x:xf numFmtId="0" fontId="46" fillId="10" borderId="0" xfId="0" applyNumberFormat="1" applyFont="1" applyFill="1" applyBorder="1" applyAlignment="1">
      <x:alignment vertical="center" wrapText="1"/>
    </x:xf>
    <x:xf numFmtId="0" fontId="46" fillId="10" borderId="59" xfId="0" applyNumberFormat="1" applyFont="1" applyFill="1" applyBorder="1" applyAlignment="1">
      <x:alignment vertical="center" wrapText="1"/>
    </x:xf>
    <x:xf numFmtId="0" fontId="46" fillId="11" borderId="60" xfId="0" applyNumberFormat="1" applyFont="1" applyFill="1" applyBorder="1" applyAlignment="1">
      <x:alignment vertical="center" wrapText="1"/>
    </x:xf>
    <x:xf numFmtId="0" fontId="48" fillId="0" borderId="59" xfId="0" applyNumberFormat="1" applyFont="1" applyFill="1" applyBorder="1" applyAlignment="1">
      <x:alignment vertical="center"/>
    </x:xf>
    <x:xf numFmtId="0" fontId="49" fillId="0" borderId="60" xfId="0" applyNumberFormat="1" applyFont="1" applyFill="1" applyBorder="1" applyAlignment="1">
      <x:alignment vertical="center"/>
    </x:xf>
    <x:xf numFmtId="0" fontId="50" fillId="0" borderId="0" xfId="0" applyNumberFormat="1" applyFont="1" applyFill="1" applyBorder="1"/>
    <x:xf numFmtId="0" fontId="51" fillId="0" borderId="0" xfId="0" applyNumberFormat="1" applyFont="1" applyFill="1" applyBorder="1"/>
    <x:xf numFmtId="0" fontId="48" fillId="0" borderId="0" xfId="0" applyNumberFormat="1" applyFont="1" applyFill="1" applyBorder="1"/>
    <x:xf numFmtId="0" fontId="46" fillId="11" borderId="60" xfId="0" applyNumberFormat="1" applyFont="1" applyFill="1" applyBorder="1" applyAlignment="1">
      <x:alignment vertical="center"/>
    </x:xf>
    <x:xf numFmtId="200" fontId="46" fillId="0" borderId="59" xfId="0" applyNumberFormat="1" applyFont="1" applyFill="1" applyBorder="1" applyAlignment="1">
      <x:alignment vertical="center"/>
    </x:xf>
    <x:xf numFmtId="200" fontId="46" fillId="11" borderId="60" xfId="0" applyNumberFormat="1" applyFont="1" applyFill="1" applyBorder="1" applyAlignment="1">
      <x:alignment vertical="center"/>
    </x:xf>
    <x:xf numFmtId="200" fontId="46" fillId="0" borderId="60" xfId="0" applyNumberFormat="1" applyFont="1" applyFill="1" applyBorder="1" applyAlignment="1">
      <x:alignment vertical="center"/>
    </x:xf>
    <x:xf numFmtId="201" fontId="46" fillId="0" borderId="59" xfId="0" applyNumberFormat="1" applyFont="1" applyFill="1" applyBorder="1" applyAlignment="1">
      <x:alignment vertical="center"/>
    </x:xf>
    <x:xf numFmtId="201" fontId="46" fillId="11" borderId="60" xfId="0" applyNumberFormat="1" applyFont="1" applyFill="1" applyBorder="1" applyAlignment="1">
      <x:alignment vertical="center"/>
    </x:xf>
    <x:xf numFmtId="201" fontId="46" fillId="0" borderId="60" xfId="0" applyNumberFormat="1" applyFont="1" applyFill="1" applyBorder="1" applyAlignment="1">
      <x:alignment vertical="center"/>
    </x:xf>
    <x:xf numFmtId="200" fontId="49" fillId="0" borderId="59" xfId="0" applyNumberFormat="1" applyFont="1" applyFill="1" applyBorder="1" applyAlignment="1">
      <x:alignment vertical="center"/>
    </x:xf>
    <x:xf numFmtId="201" fontId="49" fillId="0" borderId="59" xfId="0" applyNumberFormat="1" applyFont="1" applyFill="1" applyBorder="1" applyAlignment="1">
      <x:alignment vertical="center"/>
    </x:xf>
    <x:xf numFmtId="200" fontId="49" fillId="11" borderId="60" xfId="0" applyNumberFormat="1" applyFont="1" applyFill="1" applyBorder="1" applyAlignment="1">
      <x:alignment vertical="center"/>
    </x:xf>
    <x:xf numFmtId="201" fontId="49" fillId="11" borderId="60" xfId="0" applyNumberFormat="1" applyFont="1" applyFill="1" applyBorder="1" applyAlignment="1">
      <x:alignment vertical="center"/>
    </x:xf>
    <x:xf numFmtId="200" fontId="49" fillId="0" borderId="60" xfId="0" applyNumberFormat="1" applyFont="1" applyFill="1" applyBorder="1" applyAlignment="1">
      <x:alignment vertical="center"/>
    </x:xf>
    <x:xf numFmtId="201" fontId="49" fillId="0" borderId="60" xfId="0" applyNumberFormat="1" applyFont="1" applyFill="1" applyBorder="1" applyAlignment="1">
      <x:alignment vertical="center"/>
    </x:xf>
    <x:xf numFmtId="0" fontId="46" fillId="12" borderId="60" xfId="0" applyNumberFormat="1" applyFont="1" applyFill="1" applyBorder="1" applyAlignment="1">
      <x:alignment vertical="center"/>
    </x:xf>
    <x:xf numFmtId="200" fontId="49" fillId="12" borderId="60" xfId="0" applyNumberFormat="1" applyFont="1" applyFill="1" applyBorder="1" applyAlignment="1">
      <x:alignment vertical="center"/>
    </x:xf>
    <x:xf numFmtId="0" fontId="46" fillId="13" borderId="60" xfId="0" applyNumberFormat="1" applyFont="1" applyFill="1" applyBorder="1" applyAlignment="1">
      <x:alignment vertical="center"/>
    </x:xf>
    <x:xf numFmtId="200" fontId="49" fillId="13" borderId="60" xfId="0" applyNumberFormat="1" applyFont="1" applyFill="1" applyBorder="1" applyAlignment="1">
      <x:alignment vertical="center"/>
    </x:xf>
    <x:xf numFmtId="0" fontId="52" fillId="13" borderId="60" xfId="0" applyNumberFormat="1" applyFont="1" applyFill="1" applyBorder="1" applyAlignment="1">
      <x:alignment vertical="center"/>
    </x:xf>
    <x:xf numFmtId="200" fontId="52" fillId="13" borderId="60" xfId="0" applyNumberFormat="1" applyFont="1" applyFill="1" applyBorder="1" applyAlignment="1">
      <x:alignment vertical="center"/>
    </x:xf>
    <x:xf numFmtId="0" fontId="43" fillId="13" borderId="60" xfId="0" applyNumberFormat="1" applyFont="1" applyFill="1" applyBorder="1" applyAlignment="1">
      <x:alignment vertical="center"/>
    </x:xf>
    <x:xf numFmtId="200" fontId="43" fillId="13" borderId="60" xfId="0" applyNumberFormat="1" applyFont="1" applyFill="1" applyBorder="1" applyAlignment="1">
      <x:alignment vertical="center"/>
    </x:xf>
    <x:xf numFmtId="200" fontId="50" fillId="0" borderId="0" xfId="0" applyNumberFormat="1" applyFont="1" applyFill="1" applyBorder="1"/>
    <x:xf numFmtId="200" fontId="51" fillId="0" borderId="0" xfId="0" applyNumberFormat="1" applyFont="1" applyFill="1" applyBorder="1"/>
    <x:xf numFmtId="200" fontId="48" fillId="0" borderId="0" xfId="0" applyNumberFormat="1" applyFont="1" applyFill="1" applyBorder="1"/>
    <x:xf numFmtId="200" fontId="46" fillId="0" borderId="0" xfId="0" applyNumberFormat="1" applyFont="1" applyFill="1" applyBorder="1"/>
    <x:xf numFmtId="200" fontId="46" fillId="0" borderId="0" xfId="0" applyNumberFormat="1" applyFont="1" applyFill="1" applyBorder="1" applyAlignment="1">
      <x:alignment vertical="center"/>
    </x:xf>
    <x:xf numFmtId="202" fontId="46" fillId="0" borderId="59" xfId="0" applyNumberFormat="1" applyFont="1" applyFill="1" applyBorder="1" applyAlignment="1">
      <x:alignment vertical="center"/>
    </x:xf>
    <x:xf numFmtId="202" fontId="46" fillId="11" borderId="60" xfId="0" applyNumberFormat="1" applyFont="1" applyFill="1" applyBorder="1" applyAlignment="1">
      <x:alignment vertical="center"/>
    </x:xf>
    <x:xf numFmtId="202" fontId="46" fillId="0" borderId="60" xfId="0" applyNumberFormat="1" applyFont="1" applyFill="1" applyBorder="1" applyAlignment="1">
      <x:alignment vertical="center"/>
    </x:xf>
    <x:xf numFmtId="202" fontId="49" fillId="0" borderId="59" xfId="0" applyNumberFormat="1" applyFont="1" applyFill="1" applyBorder="1" applyAlignment="1">
      <x:alignment vertical="center"/>
    </x:xf>
    <x:xf numFmtId="202" fontId="49" fillId="11" borderId="60" xfId="0" applyNumberFormat="1" applyFont="1" applyFill="1" applyBorder="1" applyAlignment="1">
      <x:alignment vertical="center"/>
    </x:xf>
    <x:xf numFmtId="202" fontId="49" fillId="0" borderId="60" xfId="0" applyNumberFormat="1" applyFont="1" applyFill="1" applyBorder="1" applyAlignment="1">
      <x:alignment vertical="center"/>
    </x:xf>
    <x:xf numFmtId="201" fontId="49" fillId="13" borderId="60" xfId="0" applyNumberFormat="1" applyFont="1" applyFill="1" applyBorder="1" applyAlignment="1">
      <x:alignment vertical="center"/>
    </x:xf>
    <x:xf numFmtId="202" fontId="49" fillId="13" borderId="60" xfId="0" applyNumberFormat="1" applyFont="1" applyFill="1" applyBorder="1" applyAlignment="1">
      <x:alignment vertical="center"/>
    </x:xf>
    <x:xf numFmtId="201" fontId="52" fillId="13" borderId="60" xfId="0" applyNumberFormat="1" applyFont="1" applyFill="1" applyBorder="1" applyAlignment="1">
      <x:alignment vertical="center"/>
    </x:xf>
    <x:xf numFmtId="202" fontId="52" fillId="13" borderId="60" xfId="0" applyNumberFormat="1" applyFont="1" applyFill="1" applyBorder="1" applyAlignment="1">
      <x:alignment vertical="center"/>
    </x:xf>
    <x:xf numFmtId="201" fontId="43" fillId="13" borderId="60" xfId="0" applyNumberFormat="1" applyFont="1" applyFill="1" applyBorder="1" applyAlignment="1">
      <x:alignment vertical="center"/>
    </x:xf>
    <x:xf numFmtId="202" fontId="43" fillId="13" borderId="60" xfId="0" applyNumberFormat="1" applyFont="1" applyFill="1" applyBorder="1" applyAlignment="1">
      <x:alignment vertical="center"/>
    </x:xf>
    <x:xf numFmtId="203" fontId="46" fillId="0" borderId="59" xfId="0" applyNumberFormat="1" applyFont="1" applyFill="1" applyBorder="1" applyAlignment="1">
      <x:alignment vertical="center"/>
    </x:xf>
    <x:xf numFmtId="203" fontId="46" fillId="11" borderId="60" xfId="0" applyNumberFormat="1" applyFont="1" applyFill="1" applyBorder="1" applyAlignment="1">
      <x:alignment vertical="center"/>
    </x:xf>
    <x:xf numFmtId="203" fontId="46" fillId="0" borderId="60" xfId="0" applyNumberFormat="1" applyFont="1" applyFill="1" applyBorder="1" applyAlignment="1">
      <x:alignment vertical="center"/>
    </x:xf>
    <x:xf numFmtId="204" fontId="46" fillId="0" borderId="59" xfId="0" applyNumberFormat="1" applyFont="1" applyFill="1" applyBorder="1" applyAlignment="1">
      <x:alignment vertical="center"/>
    </x:xf>
    <x:xf numFmtId="204" fontId="46" fillId="11" borderId="60" xfId="0" applyNumberFormat="1" applyFont="1" applyFill="1" applyBorder="1" applyAlignment="1">
      <x:alignment vertical="center"/>
    </x:xf>
    <x:xf numFmtId="204" fontId="46" fillId="0" borderId="60" xfId="0" applyNumberFormat="1" applyFont="1" applyFill="1" applyBorder="1" applyAlignment="1">
      <x:alignment vertical="center"/>
    </x:xf>
    <x:xf numFmtId="204" fontId="49" fillId="0" borderId="59" xfId="0" applyNumberFormat="1" applyFont="1" applyFill="1" applyBorder="1" applyAlignment="1">
      <x:alignment vertical="center"/>
    </x:xf>
    <x:xf numFmtId="204" fontId="49" fillId="11" borderId="60" xfId="0" applyNumberFormat="1" applyFont="1" applyFill="1" applyBorder="1" applyAlignment="1">
      <x:alignment vertical="center"/>
    </x:xf>
    <x:xf numFmtId="204" fontId="49" fillId="0" borderId="60" xfId="0" applyNumberFormat="1" applyFont="1" applyFill="1" applyBorder="1" applyAlignment="1">
      <x:alignment vertical="center"/>
    </x:xf>
    <x:xf numFmtId="205" fontId="46" fillId="0" borderId="60" xfId="0" applyNumberFormat="1" applyFont="1" applyFill="1" applyBorder="1" applyAlignment="1">
      <x:alignment vertical="center"/>
    </x:xf>
    <x:xf numFmtId="0" fontId="49" fillId="0" borderId="59" xfId="0" applyNumberFormat="1" applyFont="1" applyFill="1" applyBorder="1" applyAlignment="1">
      <x:alignment vertical="center"/>
    </x:xf>
    <x:xf numFmtId="0" fontId="49" fillId="11" borderId="60" xfId="0" applyNumberFormat="1" applyFont="1" applyFill="1" applyBorder="1" applyAlignment="1">
      <x:alignment vertical="center"/>
    </x:xf>
    <x:xf numFmtId="0" fontId="49" fillId="13" borderId="60" xfId="0" applyNumberFormat="1" applyFont="1" applyFill="1" applyBorder="1" applyAlignment="1">
      <x:alignment vertical="center"/>
    </x:xf>
    <x:xf numFmtId="0" fontId="47" fillId="12" borderId="60" xfId="0" applyNumberFormat="1" applyFont="1" applyFill="1" applyBorder="1" applyAlignment="1">
      <x:alignment vertical="center"/>
    </x:xf>
    <x:xf numFmtId="200" fontId="53" fillId="12" borderId="60" xfId="0" applyNumberFormat="1" applyFont="1" applyFill="1" applyBorder="1" applyAlignment="1">
      <x:alignment vertical="center"/>
    </x:xf>
    <x:xf numFmtId="0" fontId="48" fillId="11" borderId="60" xfId="0" applyNumberFormat="1" applyFont="1" applyFill="1" applyBorder="1" applyAlignment="1">
      <x:alignment vertical="center"/>
    </x:xf>
    <x:xf numFmtId="0" fontId="48" fillId="0" borderId="60" xfId="0" applyNumberFormat="1" applyFont="1" applyFill="1" applyBorder="1" applyAlignment="1">
      <x:alignment vertical="center"/>
    </x:xf>
    <x:xf numFmtId="200" fontId="48" fillId="0" borderId="59" xfId="0" applyNumberFormat="1" applyFont="1" applyFill="1" applyBorder="1" applyAlignment="1">
      <x:alignment vertical="center"/>
    </x:xf>
    <x:xf numFmtId="200" fontId="48" fillId="11" borderId="60" xfId="0" applyNumberFormat="1" applyFont="1" applyFill="1" applyBorder="1" applyAlignment="1">
      <x:alignment vertical="center"/>
    </x:xf>
    <x:xf numFmtId="200" fontId="48" fillId="0" borderId="60" xfId="0" applyNumberFormat="1" applyFont="1" applyFill="1" applyBorder="1" applyAlignment="1">
      <x:alignment vertical="center"/>
    </x:xf>
  </x:cellXfs>
  <x:cellStyles count="8">
    <x:cellStyle name="Hipervínculo" xfId="5"/>
    <x:cellStyle name="Hipervínculo 2" xfId="4"/>
    <x:cellStyle name="Millares" xfId="1"/>
    <x:cellStyle name="Normal" xfId="0"/>
    <x:cellStyle name="Normal 2" xfId="3"/>
    <x:cellStyle name="Normal 2 2" xfId="7"/>
    <x:cellStyle name="Normal 3" xfId="6"/>
    <x:cellStyle name="Normal_Desesta. 4-13" xfId="2"/>
  </x:cellStyles>
  <x:dxfs count="6">
    <x:dxf>
      <x:font>
        <x:color rgb="FF9C0006"/>
      </x:font>
      <x:fill>
        <x:patternFill patternType="solid">
          <x:bgColor rgb="FFFDE8E7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DE8E7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DE8E7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75834d38b4462" /><Relationship Type="http://schemas.openxmlformats.org/officeDocument/2006/relationships/theme" Target="/xl/theme/theme1.xml" Id="R73d91bcd6fd1437b" /><Relationship Type="http://schemas.openxmlformats.org/officeDocument/2006/relationships/sharedStrings" Target="/xl/sharedStrings.xml" Id="R8f6e116f28eb4f00" /><Relationship Type="http://schemas.openxmlformats.org/officeDocument/2006/relationships/worksheet" Target="/xl/worksheets/sheet1.xml" Id="R8ec7996a47d24906" /><Relationship Type="http://schemas.openxmlformats.org/officeDocument/2006/relationships/worksheet" Target="/xl/worksheets/sheet2.xml" Id="Ra6093348652e4178" /><Relationship Type="http://schemas.openxmlformats.org/officeDocument/2006/relationships/worksheet" Target="/xl/worksheets/sheet3.xml" Id="R852dadac678a42d0" /><Relationship Type="http://schemas.openxmlformats.org/officeDocument/2006/relationships/worksheet" Target="/xl/worksheets/sheet4.xml" Id="R357d715568864668" /><Relationship Type="http://schemas.openxmlformats.org/officeDocument/2006/relationships/worksheet" Target="/xl/worksheets/sheet5.xml" Id="R2f233308d6664573" /><Relationship Type="http://schemas.openxmlformats.org/officeDocument/2006/relationships/worksheet" Target="/xl/worksheets/sheet6.xml" Id="R3c64e8e357ce49dc" /><Relationship Type="http://schemas.openxmlformats.org/officeDocument/2006/relationships/worksheet" Target="/xl/worksheets/sheet7.xml" Id="R0afb98dfc5184b44" /><Relationship Type="http://schemas.openxmlformats.org/officeDocument/2006/relationships/worksheet" Target="/xl/worksheets/sheet8.xml" Id="Ra71c93a6a8514620" /><Relationship Type="http://schemas.openxmlformats.org/officeDocument/2006/relationships/worksheet" Target="/xl/worksheets/sheet9.xml" Id="Ra2dff26601d64467" /><Relationship Type="http://schemas.openxmlformats.org/officeDocument/2006/relationships/worksheet" Target="/xl/worksheets/sheet10.xml" Id="R4049836f4abb4e54" /><Relationship Type="http://schemas.openxmlformats.org/officeDocument/2006/relationships/worksheet" Target="/xl/worksheets/sheet11.xml" Id="R4551a960dc1d4390" /><Relationship Type="http://schemas.openxmlformats.org/officeDocument/2006/relationships/worksheet" Target="/xl/worksheets/sheet12.xml" Id="R6b6612c40fd64a4f" /><Relationship Type="http://schemas.openxmlformats.org/officeDocument/2006/relationships/worksheet" Target="/xl/worksheets/sheet13.xml" Id="R1d5d2cfa5e884e3f" /><Relationship Type="http://schemas.openxmlformats.org/officeDocument/2006/relationships/worksheet" Target="/xl/worksheets/sheet14.xml" Id="Ra948cdaa74754a88" /><Relationship Type="http://schemas.openxmlformats.org/officeDocument/2006/relationships/worksheet" Target="/xl/worksheets/sheet15.xml" Id="Rbc92309f908d431a" /><Relationship Type="http://schemas.openxmlformats.org/officeDocument/2006/relationships/worksheet" Target="/xl/worksheets/sheet16.xml" Id="R8e11e02b6e7e4274" /><Relationship Type="http://schemas.openxmlformats.org/officeDocument/2006/relationships/worksheet" Target="/xl/worksheets/sheet17.xml" Id="Rd5ba6cac2a894ec5" /><Relationship Type="http://schemas.openxmlformats.org/officeDocument/2006/relationships/worksheet" Target="/xl/worksheets/sheet18.xml" Id="R375b25f26cd54d74" /><Relationship Type="http://schemas.openxmlformats.org/officeDocument/2006/relationships/worksheet" Target="/xl/worksheets/sheet19.xml" Id="R6530f71029464cd0" /><Relationship Type="http://schemas.openxmlformats.org/officeDocument/2006/relationships/worksheet" Target="/xl/worksheets/sheet20.xml" Id="R94552d550a4b487f" /><Relationship Type="http://schemas.openxmlformats.org/officeDocument/2006/relationships/worksheet" Target="/xl/worksheets/sheet21.xml" Id="Rc1643da70ea04704" /><Relationship Type="http://schemas.openxmlformats.org/officeDocument/2006/relationships/worksheet" Target="/xl/worksheets/sheet22.xml" Id="R3533d02d55c842a4" /><Relationship Type="http://schemas.openxmlformats.org/officeDocument/2006/relationships/worksheet" Target="/xl/worksheets/sheet23.xml" Id="R26457df361174a3a" /><Relationship Type="http://schemas.openxmlformats.org/officeDocument/2006/relationships/worksheet" Target="/xl/worksheets/sheet24.xml" Id="Rfb6ab6ad3d844f33" /><Relationship Type="http://schemas.openxmlformats.org/officeDocument/2006/relationships/worksheet" Target="/xl/worksheets/sheet25.xml" Id="R32f393188e474f19" /><Relationship Type="http://schemas.openxmlformats.org/officeDocument/2006/relationships/worksheet" Target="/xl/worksheets/sheet26.xml" Id="R0269529c21cc484b" /><Relationship Type="http://schemas.openxmlformats.org/officeDocument/2006/relationships/worksheet" Target="/xl/worksheets/sheet27.xml" Id="R4501b1fd02b44f60" /><Relationship Type="http://schemas.openxmlformats.org/officeDocument/2006/relationships/worksheet" Target="/xl/worksheets/sheet28.xml" Id="R9da1f234f2714f8d" /><Relationship Type="http://schemas.openxmlformats.org/officeDocument/2006/relationships/worksheet" Target="/xl/worksheets/sheet29.xml" Id="R5e68c38bd89d40a4" /><Relationship Type="http://schemas.openxmlformats.org/officeDocument/2006/relationships/worksheet" Target="/xl/worksheets/sheet30.xml" Id="Re68a58da156e49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0b1ae000cc44758" /><Relationship Type="http://schemas.openxmlformats.org/officeDocument/2006/relationships/image" Target="/xl/media/image2.png" Id="Rbdb4df35469e4c4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9b0185fb179449e4" /><Relationship Type="http://schemas.openxmlformats.org/officeDocument/2006/relationships/image" Target="/xl/media/image4.png" Id="R2ea927d7daf0472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5.png" Id="R95b87bf8ef524551" /><Relationship Type="http://schemas.openxmlformats.org/officeDocument/2006/relationships/image" Target="/xl/media/image6.png" Id="R9621f11d7f39444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7.png" Id="R919683d415f64ace" /><Relationship Type="http://schemas.openxmlformats.org/officeDocument/2006/relationships/image" Target="/xl/media/image8.png" Id="R1b585e2c3275409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9.png" Id="Rfd86a23f96c244ae" /><Relationship Type="http://schemas.openxmlformats.org/officeDocument/2006/relationships/image" Target="/xl/media/image10.png" Id="R5d5cb752904d4887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11.png" Id="R539de7ae6ca449f8" /><Relationship Type="http://schemas.openxmlformats.org/officeDocument/2006/relationships/image" Target="/xl/media/image12.png" Id="R78f7d3e87e5a4ba2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13.png" Id="R628ce65be2474f6f" /><Relationship Type="http://schemas.openxmlformats.org/officeDocument/2006/relationships/image" Target="/xl/media/image14.png" Id="R53818dccffa84dea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15.png" Id="R0bc2649ed2a44df6" /><Relationship Type="http://schemas.openxmlformats.org/officeDocument/2006/relationships/image" Target="/xl/media/image16.png" Id="R04a18d2c444b4d69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17.png" Id="Re474c6c189724b4c" /><Relationship Type="http://schemas.openxmlformats.org/officeDocument/2006/relationships/image" Target="/xl/media/image18.png" Id="R27ffc1325c544b08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19.png" Id="R0aa6fd35213c4ff2" /><Relationship Type="http://schemas.openxmlformats.org/officeDocument/2006/relationships/image" Target="/xl/media/image20.png" Id="Rd3a22ea8cc2e4e33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21.png" Id="R7b5b8fda538e4c0d" /><Relationship Type="http://schemas.openxmlformats.org/officeDocument/2006/relationships/image" Target="/xl/media/image22.png" Id="Ra2719d1d509840da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23.png" Id="Ra057b484128e4531" /><Relationship Type="http://schemas.openxmlformats.org/officeDocument/2006/relationships/image" Target="/xl/media/image24.png" Id="Rf953e596e4e140a1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25.png" Id="Rf319dffd756d4079" /><Relationship Type="http://schemas.openxmlformats.org/officeDocument/2006/relationships/image" Target="/xl/media/image26.png" Id="Rb0c4a2834a8f4179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27.png" Id="R71e175e34a0a4be5" /><Relationship Type="http://schemas.openxmlformats.org/officeDocument/2006/relationships/image" Target="/xl/media/image28.png" Id="R0d64bfaf9bd84f9d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29.png" Id="R9b03c50337624c95" /><Relationship Type="http://schemas.openxmlformats.org/officeDocument/2006/relationships/image" Target="/xl/media/image30.png" Id="R13b6f258c4dc4dd9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image" Target="/xl/media/image31.png" Id="R7c558156565e42ef" /><Relationship Type="http://schemas.openxmlformats.org/officeDocument/2006/relationships/image" Target="/xl/media/image32.png" Id="Re2ccfa78f9d54f82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3.png" Id="Rde26df89eb674cd0" /><Relationship Type="http://schemas.openxmlformats.org/officeDocument/2006/relationships/image" Target="/xl/media/image34.png" Id="R7acda2a1f1994370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image" Target="/xl/media/image35.png" Id="Rabdd60a11ac34244" /><Relationship Type="http://schemas.openxmlformats.org/officeDocument/2006/relationships/image" Target="/xl/media/image36.png" Id="Rf8d3019d71964df6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7.png" Id="R057a9368f6e24238" /><Relationship Type="http://schemas.openxmlformats.org/officeDocument/2006/relationships/image" Target="/xl/media/image38.png" Id="R1790235235144a3c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image" Target="/xl/media/image39.png" Id="Rd0ebb51e73b14c29" /><Relationship Type="http://schemas.openxmlformats.org/officeDocument/2006/relationships/image" Target="/xl/media/image40.png" Id="Rf2ee5a22168549e1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41.png" Id="R763f41a476084737" /><Relationship Type="http://schemas.openxmlformats.org/officeDocument/2006/relationships/image" Target="/xl/media/image42.png" Id="R55fa9f7689f84e5f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image" Target="/xl/media/image43.png" Id="Ra936f3d7ee324ab2" /><Relationship Type="http://schemas.openxmlformats.org/officeDocument/2006/relationships/image" Target="/xl/media/image44.png" Id="Rd8b29c2218dd4496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45.png" Id="R8551159a70634280" /><Relationship Type="http://schemas.openxmlformats.org/officeDocument/2006/relationships/image" Target="/xl/media/image46.png" Id="R528cf7930e7843a6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image" Target="/xl/media/image47.png" Id="Rd749844163314d77" /><Relationship Type="http://schemas.openxmlformats.org/officeDocument/2006/relationships/image" Target="/xl/media/image48.png" Id="R8324a168ed8740c9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1</xdr:row>
      <xdr:rowOff>78740</xdr:rowOff>
    </xdr:from>
    <xdr:to>
      <xdr:col>6</xdr:col>
      <xdr:colOff>1020445</xdr:colOff>
      <xdr:row>1</xdr:row>
      <xdr:rowOff>107315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b1ae000cc447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198120</xdr:colOff>
      <xdr:row>0</xdr:row>
      <xdr:rowOff>76200</xdr:rowOff>
    </xdr:from>
    <xdr:to>
      <xdr:col>2</xdr:col>
      <xdr:colOff>196933</xdr:colOff>
      <xdr:row>0</xdr:row>
      <xdr:rowOff>751205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b4df35469e4c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0</xdr:col>
      <xdr:colOff>32657</xdr:colOff>
      <xdr:row>5</xdr:row>
      <xdr:rowOff>65315</xdr:rowOff>
    </xdr:from>
    <xdr:to>
      <xdr:col>7</xdr:col>
      <xdr:colOff>0</xdr:colOff>
      <xdr:row>5</xdr:row>
      <xdr:rowOff>124582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0185fb179449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103534</xdr:rowOff>
    </xdr:from>
    <xdr:to>
      <xdr:col>2</xdr:col>
      <xdr:colOff>151091</xdr:colOff>
      <xdr:row>4</xdr:row>
      <xdr:rowOff>79219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a927d7daf047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5</xdr:row>
      <xdr:rowOff>76263</xdr:rowOff>
    </xdr:from>
    <xdr:ext cx="15211425" cy="47561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b87bf8ef5245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130257</xdr:rowOff>
    </xdr:from>
    <xdr:to>
      <xdr:col>1</xdr:col>
      <xdr:colOff>1314195</xdr:colOff>
      <xdr:row>4</xdr:row>
      <xdr:rowOff>107358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21f11d7f3944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1</xdr:colOff>
      <xdr:row>4</xdr:row>
      <xdr:rowOff>165468</xdr:rowOff>
    </xdr:from>
    <xdr:ext cx="13525499" cy="7536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9683d415f64a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83155</xdr:rowOff>
    </xdr:from>
    <xdr:to>
      <xdr:col>2</xdr:col>
      <xdr:colOff>145063</xdr:colOff>
      <xdr:row>4</xdr:row>
      <xdr:rowOff>47777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585e2c327540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86a23f96c244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95250</xdr:rowOff>
    </xdr:from>
    <xdr:to>
      <xdr:col>1</xdr:col>
      <xdr:colOff>1314521</xdr:colOff>
      <xdr:row>4</xdr:row>
      <xdr:rowOff>77561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5cb752904d48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9de7ae6ca449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63500</xdr:rowOff>
    </xdr:from>
    <xdr:to>
      <xdr:col>1</xdr:col>
      <xdr:colOff>1314521</xdr:colOff>
      <xdr:row>4</xdr:row>
      <xdr:rowOff>48986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f7d3e87e5a4b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8ce65be2474f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90715</xdr:rowOff>
    </xdr:from>
    <xdr:to>
      <xdr:col>1</xdr:col>
      <xdr:colOff>1304744</xdr:colOff>
      <xdr:row>4</xdr:row>
      <xdr:rowOff>58512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818dccffa84d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c2649ed2a44d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77983</xdr:rowOff>
    </xdr:from>
    <xdr:to>
      <xdr:col>1</xdr:col>
      <xdr:colOff>1311625</xdr:colOff>
      <xdr:row>4</xdr:row>
      <xdr:rowOff>58512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a18d2c444b4d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9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74c6c189724b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8581</xdr:colOff>
      <xdr:row>0</xdr:row>
      <xdr:rowOff>85811</xdr:rowOff>
    </xdr:from>
    <xdr:to>
      <xdr:col>1</xdr:col>
      <xdr:colOff>1326706</xdr:colOff>
      <xdr:row>4</xdr:row>
      <xdr:rowOff>58511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ffc1325c544b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0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a6fd35213c4f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101600</xdr:rowOff>
    </xdr:from>
    <xdr:to>
      <xdr:col>1</xdr:col>
      <xdr:colOff>1314521</xdr:colOff>
      <xdr:row>4</xdr:row>
      <xdr:rowOff>87086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a22ea8cc2e4e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1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5b8fda538e4c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8466</xdr:colOff>
      <xdr:row>0</xdr:row>
      <xdr:rowOff>101600</xdr:rowOff>
    </xdr:from>
    <xdr:to>
      <xdr:col>1</xdr:col>
      <xdr:colOff>1325104</xdr:colOff>
      <xdr:row>4</xdr:row>
      <xdr:rowOff>83911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719d1d509840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2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57b484128e45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107950</xdr:rowOff>
    </xdr:from>
    <xdr:to>
      <xdr:col>1</xdr:col>
      <xdr:colOff>1314521</xdr:colOff>
      <xdr:row>4</xdr:row>
      <xdr:rowOff>83911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53e596e4e140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3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19dffd756d40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95250</xdr:rowOff>
    </xdr:from>
    <xdr:to>
      <xdr:col>1</xdr:col>
      <xdr:colOff>1314521</xdr:colOff>
      <xdr:row>4</xdr:row>
      <xdr:rowOff>77561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c4a2834a8f41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4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e175e34a0a4b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1</xdr:col>
      <xdr:colOff>1314874</xdr:colOff>
      <xdr:row>4</xdr:row>
      <xdr:rowOff>164344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64bfaf9bd84f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5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03c50337624c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1</xdr:col>
      <xdr:colOff>1314521</xdr:colOff>
      <xdr:row>4</xdr:row>
      <xdr:rowOff>160111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b6f258c4dc4d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6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558156565e42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1</xdr:col>
      <xdr:colOff>1314521</xdr:colOff>
      <xdr:row>4</xdr:row>
      <xdr:rowOff>160111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ccfa78f9d54f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7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26df89eb674c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1</xdr:col>
      <xdr:colOff>1314521</xdr:colOff>
      <xdr:row>4</xdr:row>
      <xdr:rowOff>163286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cda2a1f19943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8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dd60a11ac342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1</xdr:col>
      <xdr:colOff>1314521</xdr:colOff>
      <xdr:row>4</xdr:row>
      <xdr:rowOff>160111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d3019d71964d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9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7a9368f6e242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57150</xdr:rowOff>
    </xdr:from>
    <xdr:to>
      <xdr:col>1</xdr:col>
      <xdr:colOff>1314521</xdr:colOff>
      <xdr:row>4</xdr:row>
      <xdr:rowOff>39461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90235235144a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0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ebb51e73b14c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1325633</xdr:colOff>
      <xdr:row>3</xdr:row>
      <xdr:rowOff>164080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ee5a22168549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1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9979640" cy="76934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3f41a4760847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0</xdr:col>
      <xdr:colOff>0</xdr:colOff>
      <xdr:row>0</xdr:row>
      <xdr:rowOff>156147</xdr:rowOff>
    </xdr:from>
    <xdr:to>
      <xdr:col>1</xdr:col>
      <xdr:colOff>1312247</xdr:colOff>
      <xdr:row>4</xdr:row>
      <xdr:rowOff>133906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fa9f7689f84e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2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63500</xdr:rowOff>
    </xdr:from>
    <xdr:to>
      <xdr:col>1</xdr:col>
      <xdr:colOff>1314521</xdr:colOff>
      <xdr:row>4</xdr:row>
      <xdr:rowOff>45811</xdr:rowOff>
    </xdr:to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36f3d7ee324a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oneCellAnchor>
    <xdr:from>
      <xdr:col>0</xdr:col>
      <xdr:colOff>0</xdr:colOff>
      <xdr:row>5</xdr:row>
      <xdr:rowOff>0</xdr:rowOff>
    </xdr:from>
    <xdr:ext cx="19979640" cy="76934"/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b29c2218dd44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3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</xdr:col>
      <xdr:colOff>1314521</xdr:colOff>
      <xdr:row>3</xdr:row>
      <xdr:rowOff>160111</xdr:rowOff>
    </xdr:to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51159a706342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oneCellAnchor>
    <xdr:from>
      <xdr:col>0</xdr:col>
      <xdr:colOff>0</xdr:colOff>
      <xdr:row>5</xdr:row>
      <xdr:rowOff>0</xdr:rowOff>
    </xdr:from>
    <xdr:ext cx="19979640" cy="76934"/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8cf7930e7843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4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</xdr:col>
      <xdr:colOff>1390721</xdr:colOff>
      <xdr:row>3</xdr:row>
      <xdr:rowOff>141061</xdr:rowOff>
    </xdr:to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49844163314d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oneCellAnchor>
    <xdr:from>
      <xdr:col>0</xdr:col>
      <xdr:colOff>0</xdr:colOff>
      <xdr:row>5</xdr:row>
      <xdr:rowOff>0</xdr:rowOff>
    </xdr:from>
    <xdr:ext cx="19979640" cy="76934"/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24a168ed8740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ec0942fdef547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8ea9ce258ba4d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13a71838710f4c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5e017e473d814a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de439f33bdb34b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dfbe922304ff4c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c2e46cede05242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b510e444f81141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0852efdba4344dc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38304a1b40d445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0ab8f19e131942b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f2d5117f4c774c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ff2d31abe8034b2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6b94c4313810416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492bcf20ec6b498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6.xml" Id="Rac6b3e86f2b5420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7.xml" Id="Rb09810e69d444bf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8.xml" Id="R8098e5d967934fb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9.xml" Id="Rc0b674724c67479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0.xml" Id="R76f693cd0ee44e8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1.xml" Id="Rf119ee129dd1468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2.xml" Id="R788e0e994f494962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3.xml" Id="R3ac7ce851ea940c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4.xml" Id="R867830bd841f4113" /></Relationships>
</file>

<file path=xl/worksheets/sheet1.xml><?xml version="1.0" encoding="utf-8"?>
<x:worksheet xmlns:x="http://schemas.openxmlformats.org/spreadsheetml/2006/main">
  <x:sheetFormatPr baseColWidth="10" defaultColWidth="11.42578125" defaultRowHeight="14.25"/>
  <x:cols>
    <x:col min="1" max="1" width="14.42578125" style="20" customWidth="1"/>
    <x:col min="2" max="2" width="12" style="18" customWidth="1"/>
    <x:col min="3" max="4" width="14.42578125" style="18" customWidth="1"/>
    <x:col min="5" max="5" width="17.42578125" style="18" customWidth="1"/>
    <x:col min="6" max="6" width="14.42578125" style="18" customWidth="1"/>
    <x:col min="7" max="7" width="25.85546875" style="18" customWidth="1"/>
    <x:col min="8" max="8" width="14.42578125" style="18" customWidth="1"/>
    <x:col min="9" max="256" width="11.42578125" style="18" customWidth="0"/>
    <x:col min="257" max="257" width="14.42578125" style="18" customWidth="1"/>
    <x:col min="258" max="258" width="12" style="18" customWidth="1"/>
    <x:col min="259" max="260" width="14.42578125" style="18" customWidth="1"/>
    <x:col min="261" max="261" width="17.42578125" style="18" customWidth="1"/>
    <x:col min="262" max="264" width="14.42578125" style="18" customWidth="1"/>
    <x:col min="265" max="512" width="11.42578125" style="18" customWidth="0"/>
    <x:col min="513" max="513" width="14.42578125" style="18" customWidth="1"/>
    <x:col min="514" max="514" width="12" style="18" customWidth="1"/>
    <x:col min="515" max="516" width="14.42578125" style="18" customWidth="1"/>
    <x:col min="517" max="517" width="17.42578125" style="18" customWidth="1"/>
    <x:col min="518" max="520" width="14.42578125" style="18" customWidth="1"/>
    <x:col min="521" max="768" width="11.42578125" style="18" customWidth="0"/>
    <x:col min="769" max="769" width="14.42578125" style="18" customWidth="1"/>
    <x:col min="770" max="770" width="12" style="18" customWidth="1"/>
    <x:col min="771" max="772" width="14.42578125" style="18" customWidth="1"/>
    <x:col min="773" max="773" width="17.42578125" style="18" customWidth="1"/>
    <x:col min="774" max="776" width="14.42578125" style="18" customWidth="1"/>
    <x:col min="777" max="1024" width="11.42578125" style="18" customWidth="0"/>
    <x:col min="1025" max="1025" width="14.42578125" style="18" customWidth="1"/>
    <x:col min="1026" max="1026" width="12" style="18" customWidth="1"/>
    <x:col min="1027" max="1028" width="14.42578125" style="18" customWidth="1"/>
    <x:col min="1029" max="1029" width="17.42578125" style="18" customWidth="1"/>
    <x:col min="1030" max="1032" width="14.42578125" style="18" customWidth="1"/>
    <x:col min="1033" max="1280" width="11.42578125" style="18" customWidth="0"/>
    <x:col min="1281" max="1281" width="14.42578125" style="18" customWidth="1"/>
    <x:col min="1282" max="1282" width="12" style="18" customWidth="1"/>
    <x:col min="1283" max="1284" width="14.42578125" style="18" customWidth="1"/>
    <x:col min="1285" max="1285" width="17.42578125" style="18" customWidth="1"/>
    <x:col min="1286" max="1288" width="14.42578125" style="18" customWidth="1"/>
    <x:col min="1289" max="1536" width="11.42578125" style="18" customWidth="0"/>
    <x:col min="1537" max="1537" width="14.42578125" style="18" customWidth="1"/>
    <x:col min="1538" max="1538" width="12" style="18" customWidth="1"/>
    <x:col min="1539" max="1540" width="14.42578125" style="18" customWidth="1"/>
    <x:col min="1541" max="1541" width="17.42578125" style="18" customWidth="1"/>
    <x:col min="1542" max="1544" width="14.42578125" style="18" customWidth="1"/>
    <x:col min="1545" max="1792" width="11.42578125" style="18" customWidth="0"/>
    <x:col min="1793" max="1793" width="14.42578125" style="18" customWidth="1"/>
    <x:col min="1794" max="1794" width="12" style="18" customWidth="1"/>
    <x:col min="1795" max="1796" width="14.42578125" style="18" customWidth="1"/>
    <x:col min="1797" max="1797" width="17.42578125" style="18" customWidth="1"/>
    <x:col min="1798" max="1800" width="14.42578125" style="18" customWidth="1"/>
    <x:col min="1801" max="2048" width="11.42578125" style="18" customWidth="0"/>
    <x:col min="2049" max="2049" width="14.42578125" style="18" customWidth="1"/>
    <x:col min="2050" max="2050" width="12" style="18" customWidth="1"/>
    <x:col min="2051" max="2052" width="14.42578125" style="18" customWidth="1"/>
    <x:col min="2053" max="2053" width="17.42578125" style="18" customWidth="1"/>
    <x:col min="2054" max="2056" width="14.42578125" style="18" customWidth="1"/>
    <x:col min="2057" max="2304" width="11.42578125" style="18" customWidth="0"/>
    <x:col min="2305" max="2305" width="14.42578125" style="18" customWidth="1"/>
    <x:col min="2306" max="2306" width="12" style="18" customWidth="1"/>
    <x:col min="2307" max="2308" width="14.42578125" style="18" customWidth="1"/>
    <x:col min="2309" max="2309" width="17.42578125" style="18" customWidth="1"/>
    <x:col min="2310" max="2312" width="14.42578125" style="18" customWidth="1"/>
    <x:col min="2313" max="2560" width="11.42578125" style="18" customWidth="0"/>
    <x:col min="2561" max="2561" width="14.42578125" style="18" customWidth="1"/>
    <x:col min="2562" max="2562" width="12" style="18" customWidth="1"/>
    <x:col min="2563" max="2564" width="14.42578125" style="18" customWidth="1"/>
    <x:col min="2565" max="2565" width="17.42578125" style="18" customWidth="1"/>
    <x:col min="2566" max="2568" width="14.42578125" style="18" customWidth="1"/>
    <x:col min="2569" max="2816" width="11.42578125" style="18" customWidth="0"/>
    <x:col min="2817" max="2817" width="14.42578125" style="18" customWidth="1"/>
    <x:col min="2818" max="2818" width="12" style="18" customWidth="1"/>
    <x:col min="2819" max="2820" width="14.42578125" style="18" customWidth="1"/>
    <x:col min="2821" max="2821" width="17.42578125" style="18" customWidth="1"/>
    <x:col min="2822" max="2824" width="14.42578125" style="18" customWidth="1"/>
    <x:col min="2825" max="3072" width="11.42578125" style="18" customWidth="0"/>
    <x:col min="3073" max="3073" width="14.42578125" style="18" customWidth="1"/>
    <x:col min="3074" max="3074" width="12" style="18" customWidth="1"/>
    <x:col min="3075" max="3076" width="14.42578125" style="18" customWidth="1"/>
    <x:col min="3077" max="3077" width="17.42578125" style="18" customWidth="1"/>
    <x:col min="3078" max="3080" width="14.42578125" style="18" customWidth="1"/>
    <x:col min="3081" max="3328" width="11.42578125" style="18" customWidth="0"/>
    <x:col min="3329" max="3329" width="14.42578125" style="18" customWidth="1"/>
    <x:col min="3330" max="3330" width="12" style="18" customWidth="1"/>
    <x:col min="3331" max="3332" width="14.42578125" style="18" customWidth="1"/>
    <x:col min="3333" max="3333" width="17.42578125" style="18" customWidth="1"/>
    <x:col min="3334" max="3336" width="14.42578125" style="18" customWidth="1"/>
    <x:col min="3337" max="3584" width="11.42578125" style="18" customWidth="0"/>
    <x:col min="3585" max="3585" width="14.42578125" style="18" customWidth="1"/>
    <x:col min="3586" max="3586" width="12" style="18" customWidth="1"/>
    <x:col min="3587" max="3588" width="14.42578125" style="18" customWidth="1"/>
    <x:col min="3589" max="3589" width="17.42578125" style="18" customWidth="1"/>
    <x:col min="3590" max="3592" width="14.42578125" style="18" customWidth="1"/>
    <x:col min="3593" max="3840" width="11.42578125" style="18" customWidth="0"/>
    <x:col min="3841" max="3841" width="14.42578125" style="18" customWidth="1"/>
    <x:col min="3842" max="3842" width="12" style="18" customWidth="1"/>
    <x:col min="3843" max="3844" width="14.42578125" style="18" customWidth="1"/>
    <x:col min="3845" max="3845" width="17.42578125" style="18" customWidth="1"/>
    <x:col min="3846" max="3848" width="14.42578125" style="18" customWidth="1"/>
    <x:col min="3849" max="4096" width="11.42578125" style="18" customWidth="0"/>
    <x:col min="4097" max="4097" width="14.42578125" style="18" customWidth="1"/>
    <x:col min="4098" max="4098" width="12" style="18" customWidth="1"/>
    <x:col min="4099" max="4100" width="14.42578125" style="18" customWidth="1"/>
    <x:col min="4101" max="4101" width="17.42578125" style="18" customWidth="1"/>
    <x:col min="4102" max="4104" width="14.42578125" style="18" customWidth="1"/>
    <x:col min="4105" max="4352" width="11.42578125" style="18" customWidth="0"/>
    <x:col min="4353" max="4353" width="14.42578125" style="18" customWidth="1"/>
    <x:col min="4354" max="4354" width="12" style="18" customWidth="1"/>
    <x:col min="4355" max="4356" width="14.42578125" style="18" customWidth="1"/>
    <x:col min="4357" max="4357" width="17.42578125" style="18" customWidth="1"/>
    <x:col min="4358" max="4360" width="14.42578125" style="18" customWidth="1"/>
    <x:col min="4361" max="4608" width="11.42578125" style="18" customWidth="0"/>
    <x:col min="4609" max="4609" width="14.42578125" style="18" customWidth="1"/>
    <x:col min="4610" max="4610" width="12" style="18" customWidth="1"/>
    <x:col min="4611" max="4612" width="14.42578125" style="18" customWidth="1"/>
    <x:col min="4613" max="4613" width="17.42578125" style="18" customWidth="1"/>
    <x:col min="4614" max="4616" width="14.42578125" style="18" customWidth="1"/>
    <x:col min="4617" max="4864" width="11.42578125" style="18" customWidth="0"/>
    <x:col min="4865" max="4865" width="14.42578125" style="18" customWidth="1"/>
    <x:col min="4866" max="4866" width="12" style="18" customWidth="1"/>
    <x:col min="4867" max="4868" width="14.42578125" style="18" customWidth="1"/>
    <x:col min="4869" max="4869" width="17.42578125" style="18" customWidth="1"/>
    <x:col min="4870" max="4872" width="14.42578125" style="18" customWidth="1"/>
    <x:col min="4873" max="5120" width="11.42578125" style="18" customWidth="0"/>
    <x:col min="5121" max="5121" width="14.42578125" style="18" customWidth="1"/>
    <x:col min="5122" max="5122" width="12" style="18" customWidth="1"/>
    <x:col min="5123" max="5124" width="14.42578125" style="18" customWidth="1"/>
    <x:col min="5125" max="5125" width="17.42578125" style="18" customWidth="1"/>
    <x:col min="5126" max="5128" width="14.42578125" style="18" customWidth="1"/>
    <x:col min="5129" max="5376" width="11.42578125" style="18" customWidth="0"/>
    <x:col min="5377" max="5377" width="14.42578125" style="18" customWidth="1"/>
    <x:col min="5378" max="5378" width="12" style="18" customWidth="1"/>
    <x:col min="5379" max="5380" width="14.42578125" style="18" customWidth="1"/>
    <x:col min="5381" max="5381" width="17.42578125" style="18" customWidth="1"/>
    <x:col min="5382" max="5384" width="14.42578125" style="18" customWidth="1"/>
    <x:col min="5385" max="5632" width="11.42578125" style="18" customWidth="0"/>
    <x:col min="5633" max="5633" width="14.42578125" style="18" customWidth="1"/>
    <x:col min="5634" max="5634" width="12" style="18" customWidth="1"/>
    <x:col min="5635" max="5636" width="14.42578125" style="18" customWidth="1"/>
    <x:col min="5637" max="5637" width="17.42578125" style="18" customWidth="1"/>
    <x:col min="5638" max="5640" width="14.42578125" style="18" customWidth="1"/>
    <x:col min="5641" max="5888" width="11.42578125" style="18" customWidth="0"/>
    <x:col min="5889" max="5889" width="14.42578125" style="18" customWidth="1"/>
    <x:col min="5890" max="5890" width="12" style="18" customWidth="1"/>
    <x:col min="5891" max="5892" width="14.42578125" style="18" customWidth="1"/>
    <x:col min="5893" max="5893" width="17.42578125" style="18" customWidth="1"/>
    <x:col min="5894" max="5896" width="14.42578125" style="18" customWidth="1"/>
    <x:col min="5897" max="6144" width="11.42578125" style="18" customWidth="0"/>
    <x:col min="6145" max="6145" width="14.42578125" style="18" customWidth="1"/>
    <x:col min="6146" max="6146" width="12" style="18" customWidth="1"/>
    <x:col min="6147" max="6148" width="14.42578125" style="18" customWidth="1"/>
    <x:col min="6149" max="6149" width="17.42578125" style="18" customWidth="1"/>
    <x:col min="6150" max="6152" width="14.42578125" style="18" customWidth="1"/>
    <x:col min="6153" max="6400" width="11.42578125" style="18" customWidth="0"/>
    <x:col min="6401" max="6401" width="14.42578125" style="18" customWidth="1"/>
    <x:col min="6402" max="6402" width="12" style="18" customWidth="1"/>
    <x:col min="6403" max="6404" width="14.42578125" style="18" customWidth="1"/>
    <x:col min="6405" max="6405" width="17.42578125" style="18" customWidth="1"/>
    <x:col min="6406" max="6408" width="14.42578125" style="18" customWidth="1"/>
    <x:col min="6409" max="6656" width="11.42578125" style="18" customWidth="0"/>
    <x:col min="6657" max="6657" width="14.42578125" style="18" customWidth="1"/>
    <x:col min="6658" max="6658" width="12" style="18" customWidth="1"/>
    <x:col min="6659" max="6660" width="14.42578125" style="18" customWidth="1"/>
    <x:col min="6661" max="6661" width="17.42578125" style="18" customWidth="1"/>
    <x:col min="6662" max="6664" width="14.42578125" style="18" customWidth="1"/>
    <x:col min="6665" max="6912" width="11.42578125" style="18" customWidth="0"/>
    <x:col min="6913" max="6913" width="14.42578125" style="18" customWidth="1"/>
    <x:col min="6914" max="6914" width="12" style="18" customWidth="1"/>
    <x:col min="6915" max="6916" width="14.42578125" style="18" customWidth="1"/>
    <x:col min="6917" max="6917" width="17.42578125" style="18" customWidth="1"/>
    <x:col min="6918" max="6920" width="14.42578125" style="18" customWidth="1"/>
    <x:col min="6921" max="7168" width="11.42578125" style="18" customWidth="0"/>
    <x:col min="7169" max="7169" width="14.42578125" style="18" customWidth="1"/>
    <x:col min="7170" max="7170" width="12" style="18" customWidth="1"/>
    <x:col min="7171" max="7172" width="14.42578125" style="18" customWidth="1"/>
    <x:col min="7173" max="7173" width="17.42578125" style="18" customWidth="1"/>
    <x:col min="7174" max="7176" width="14.42578125" style="18" customWidth="1"/>
    <x:col min="7177" max="7424" width="11.42578125" style="18" customWidth="0"/>
    <x:col min="7425" max="7425" width="14.42578125" style="18" customWidth="1"/>
    <x:col min="7426" max="7426" width="12" style="18" customWidth="1"/>
    <x:col min="7427" max="7428" width="14.42578125" style="18" customWidth="1"/>
    <x:col min="7429" max="7429" width="17.42578125" style="18" customWidth="1"/>
    <x:col min="7430" max="7432" width="14.42578125" style="18" customWidth="1"/>
    <x:col min="7433" max="7680" width="11.42578125" style="18" customWidth="0"/>
    <x:col min="7681" max="7681" width="14.42578125" style="18" customWidth="1"/>
    <x:col min="7682" max="7682" width="12" style="18" customWidth="1"/>
    <x:col min="7683" max="7684" width="14.42578125" style="18" customWidth="1"/>
    <x:col min="7685" max="7685" width="17.42578125" style="18" customWidth="1"/>
    <x:col min="7686" max="7688" width="14.42578125" style="18" customWidth="1"/>
    <x:col min="7689" max="7936" width="11.42578125" style="18" customWidth="0"/>
    <x:col min="7937" max="7937" width="14.42578125" style="18" customWidth="1"/>
    <x:col min="7938" max="7938" width="12" style="18" customWidth="1"/>
    <x:col min="7939" max="7940" width="14.42578125" style="18" customWidth="1"/>
    <x:col min="7941" max="7941" width="17.42578125" style="18" customWidth="1"/>
    <x:col min="7942" max="7944" width="14.42578125" style="18" customWidth="1"/>
    <x:col min="7945" max="8192" width="11.42578125" style="18" customWidth="0"/>
    <x:col min="8193" max="8193" width="14.42578125" style="18" customWidth="1"/>
    <x:col min="8194" max="8194" width="12" style="18" customWidth="1"/>
    <x:col min="8195" max="8196" width="14.42578125" style="18" customWidth="1"/>
    <x:col min="8197" max="8197" width="17.42578125" style="18" customWidth="1"/>
    <x:col min="8198" max="8200" width="14.42578125" style="18" customWidth="1"/>
    <x:col min="8201" max="8448" width="11.42578125" style="18" customWidth="0"/>
    <x:col min="8449" max="8449" width="14.42578125" style="18" customWidth="1"/>
    <x:col min="8450" max="8450" width="12" style="18" customWidth="1"/>
    <x:col min="8451" max="8452" width="14.42578125" style="18" customWidth="1"/>
    <x:col min="8453" max="8453" width="17.42578125" style="18" customWidth="1"/>
    <x:col min="8454" max="8456" width="14.42578125" style="18" customWidth="1"/>
    <x:col min="8457" max="8704" width="11.42578125" style="18" customWidth="0"/>
    <x:col min="8705" max="8705" width="14.42578125" style="18" customWidth="1"/>
    <x:col min="8706" max="8706" width="12" style="18" customWidth="1"/>
    <x:col min="8707" max="8708" width="14.42578125" style="18" customWidth="1"/>
    <x:col min="8709" max="8709" width="17.42578125" style="18" customWidth="1"/>
    <x:col min="8710" max="8712" width="14.42578125" style="18" customWidth="1"/>
    <x:col min="8713" max="8960" width="11.42578125" style="18" customWidth="0"/>
    <x:col min="8961" max="8961" width="14.42578125" style="18" customWidth="1"/>
    <x:col min="8962" max="8962" width="12" style="18" customWidth="1"/>
    <x:col min="8963" max="8964" width="14.42578125" style="18" customWidth="1"/>
    <x:col min="8965" max="8965" width="17.42578125" style="18" customWidth="1"/>
    <x:col min="8966" max="8968" width="14.42578125" style="18" customWidth="1"/>
    <x:col min="8969" max="9216" width="11.42578125" style="18" customWidth="0"/>
    <x:col min="9217" max="9217" width="14.42578125" style="18" customWidth="1"/>
    <x:col min="9218" max="9218" width="12" style="18" customWidth="1"/>
    <x:col min="9219" max="9220" width="14.42578125" style="18" customWidth="1"/>
    <x:col min="9221" max="9221" width="17.42578125" style="18" customWidth="1"/>
    <x:col min="9222" max="9224" width="14.42578125" style="18" customWidth="1"/>
    <x:col min="9225" max="9472" width="11.42578125" style="18" customWidth="0"/>
    <x:col min="9473" max="9473" width="14.42578125" style="18" customWidth="1"/>
    <x:col min="9474" max="9474" width="12" style="18" customWidth="1"/>
    <x:col min="9475" max="9476" width="14.42578125" style="18" customWidth="1"/>
    <x:col min="9477" max="9477" width="17.42578125" style="18" customWidth="1"/>
    <x:col min="9478" max="9480" width="14.42578125" style="18" customWidth="1"/>
    <x:col min="9481" max="9728" width="11.42578125" style="18" customWidth="0"/>
    <x:col min="9729" max="9729" width="14.42578125" style="18" customWidth="1"/>
    <x:col min="9730" max="9730" width="12" style="18" customWidth="1"/>
    <x:col min="9731" max="9732" width="14.42578125" style="18" customWidth="1"/>
    <x:col min="9733" max="9733" width="17.42578125" style="18" customWidth="1"/>
    <x:col min="9734" max="9736" width="14.42578125" style="18" customWidth="1"/>
    <x:col min="9737" max="9984" width="11.42578125" style="18" customWidth="0"/>
    <x:col min="9985" max="9985" width="14.42578125" style="18" customWidth="1"/>
    <x:col min="9986" max="9986" width="12" style="18" customWidth="1"/>
    <x:col min="9987" max="9988" width="14.42578125" style="18" customWidth="1"/>
    <x:col min="9989" max="9989" width="17.42578125" style="18" customWidth="1"/>
    <x:col min="9990" max="9992" width="14.42578125" style="18" customWidth="1"/>
    <x:col min="9993" max="10240" width="11.42578125" style="18" customWidth="0"/>
    <x:col min="10241" max="10241" width="14.42578125" style="18" customWidth="1"/>
    <x:col min="10242" max="10242" width="12" style="18" customWidth="1"/>
    <x:col min="10243" max="10244" width="14.42578125" style="18" customWidth="1"/>
    <x:col min="10245" max="10245" width="17.42578125" style="18" customWidth="1"/>
    <x:col min="10246" max="10248" width="14.42578125" style="18" customWidth="1"/>
    <x:col min="10249" max="10496" width="11.42578125" style="18" customWidth="0"/>
    <x:col min="10497" max="10497" width="14.42578125" style="18" customWidth="1"/>
    <x:col min="10498" max="10498" width="12" style="18" customWidth="1"/>
    <x:col min="10499" max="10500" width="14.42578125" style="18" customWidth="1"/>
    <x:col min="10501" max="10501" width="17.42578125" style="18" customWidth="1"/>
    <x:col min="10502" max="10504" width="14.42578125" style="18" customWidth="1"/>
    <x:col min="10505" max="10752" width="11.42578125" style="18" customWidth="0"/>
    <x:col min="10753" max="10753" width="14.42578125" style="18" customWidth="1"/>
    <x:col min="10754" max="10754" width="12" style="18" customWidth="1"/>
    <x:col min="10755" max="10756" width="14.42578125" style="18" customWidth="1"/>
    <x:col min="10757" max="10757" width="17.42578125" style="18" customWidth="1"/>
    <x:col min="10758" max="10760" width="14.42578125" style="18" customWidth="1"/>
    <x:col min="10761" max="11008" width="11.42578125" style="18" customWidth="0"/>
    <x:col min="11009" max="11009" width="14.42578125" style="18" customWidth="1"/>
    <x:col min="11010" max="11010" width="12" style="18" customWidth="1"/>
    <x:col min="11011" max="11012" width="14.42578125" style="18" customWidth="1"/>
    <x:col min="11013" max="11013" width="17.42578125" style="18" customWidth="1"/>
    <x:col min="11014" max="11016" width="14.42578125" style="18" customWidth="1"/>
    <x:col min="11017" max="11264" width="11.42578125" style="18" customWidth="0"/>
    <x:col min="11265" max="11265" width="14.42578125" style="18" customWidth="1"/>
    <x:col min="11266" max="11266" width="12" style="18" customWidth="1"/>
    <x:col min="11267" max="11268" width="14.42578125" style="18" customWidth="1"/>
    <x:col min="11269" max="11269" width="17.42578125" style="18" customWidth="1"/>
    <x:col min="11270" max="11272" width="14.42578125" style="18" customWidth="1"/>
    <x:col min="11273" max="11520" width="11.42578125" style="18" customWidth="0"/>
    <x:col min="11521" max="11521" width="14.42578125" style="18" customWidth="1"/>
    <x:col min="11522" max="11522" width="12" style="18" customWidth="1"/>
    <x:col min="11523" max="11524" width="14.42578125" style="18" customWidth="1"/>
    <x:col min="11525" max="11525" width="17.42578125" style="18" customWidth="1"/>
    <x:col min="11526" max="11528" width="14.42578125" style="18" customWidth="1"/>
    <x:col min="11529" max="11776" width="11.42578125" style="18" customWidth="0"/>
    <x:col min="11777" max="11777" width="14.42578125" style="18" customWidth="1"/>
    <x:col min="11778" max="11778" width="12" style="18" customWidth="1"/>
    <x:col min="11779" max="11780" width="14.42578125" style="18" customWidth="1"/>
    <x:col min="11781" max="11781" width="17.42578125" style="18" customWidth="1"/>
    <x:col min="11782" max="11784" width="14.42578125" style="18" customWidth="1"/>
    <x:col min="11785" max="12032" width="11.42578125" style="18" customWidth="0"/>
    <x:col min="12033" max="12033" width="14.42578125" style="18" customWidth="1"/>
    <x:col min="12034" max="12034" width="12" style="18" customWidth="1"/>
    <x:col min="12035" max="12036" width="14.42578125" style="18" customWidth="1"/>
    <x:col min="12037" max="12037" width="17.42578125" style="18" customWidth="1"/>
    <x:col min="12038" max="12040" width="14.42578125" style="18" customWidth="1"/>
    <x:col min="12041" max="12288" width="11.42578125" style="18" customWidth="0"/>
    <x:col min="12289" max="12289" width="14.42578125" style="18" customWidth="1"/>
    <x:col min="12290" max="12290" width="12" style="18" customWidth="1"/>
    <x:col min="12291" max="12292" width="14.42578125" style="18" customWidth="1"/>
    <x:col min="12293" max="12293" width="17.42578125" style="18" customWidth="1"/>
    <x:col min="12294" max="12296" width="14.42578125" style="18" customWidth="1"/>
    <x:col min="12297" max="12544" width="11.42578125" style="18" customWidth="0"/>
    <x:col min="12545" max="12545" width="14.42578125" style="18" customWidth="1"/>
    <x:col min="12546" max="12546" width="12" style="18" customWidth="1"/>
    <x:col min="12547" max="12548" width="14.42578125" style="18" customWidth="1"/>
    <x:col min="12549" max="12549" width="17.42578125" style="18" customWidth="1"/>
    <x:col min="12550" max="12552" width="14.42578125" style="18" customWidth="1"/>
    <x:col min="12553" max="12800" width="11.42578125" style="18" customWidth="0"/>
    <x:col min="12801" max="12801" width="14.42578125" style="18" customWidth="1"/>
    <x:col min="12802" max="12802" width="12" style="18" customWidth="1"/>
    <x:col min="12803" max="12804" width="14.42578125" style="18" customWidth="1"/>
    <x:col min="12805" max="12805" width="17.42578125" style="18" customWidth="1"/>
    <x:col min="12806" max="12808" width="14.42578125" style="18" customWidth="1"/>
    <x:col min="12809" max="13056" width="11.42578125" style="18" customWidth="0"/>
    <x:col min="13057" max="13057" width="14.42578125" style="18" customWidth="1"/>
    <x:col min="13058" max="13058" width="12" style="18" customWidth="1"/>
    <x:col min="13059" max="13060" width="14.42578125" style="18" customWidth="1"/>
    <x:col min="13061" max="13061" width="17.42578125" style="18" customWidth="1"/>
    <x:col min="13062" max="13064" width="14.42578125" style="18" customWidth="1"/>
    <x:col min="13065" max="13312" width="11.42578125" style="18" customWidth="0"/>
    <x:col min="13313" max="13313" width="14.42578125" style="18" customWidth="1"/>
    <x:col min="13314" max="13314" width="12" style="18" customWidth="1"/>
    <x:col min="13315" max="13316" width="14.42578125" style="18" customWidth="1"/>
    <x:col min="13317" max="13317" width="17.42578125" style="18" customWidth="1"/>
    <x:col min="13318" max="13320" width="14.42578125" style="18" customWidth="1"/>
    <x:col min="13321" max="13568" width="11.42578125" style="18" customWidth="0"/>
    <x:col min="13569" max="13569" width="14.42578125" style="18" customWidth="1"/>
    <x:col min="13570" max="13570" width="12" style="18" customWidth="1"/>
    <x:col min="13571" max="13572" width="14.42578125" style="18" customWidth="1"/>
    <x:col min="13573" max="13573" width="17.42578125" style="18" customWidth="1"/>
    <x:col min="13574" max="13576" width="14.42578125" style="18" customWidth="1"/>
    <x:col min="13577" max="13824" width="11.42578125" style="18" customWidth="0"/>
    <x:col min="13825" max="13825" width="14.42578125" style="18" customWidth="1"/>
    <x:col min="13826" max="13826" width="12" style="18" customWidth="1"/>
    <x:col min="13827" max="13828" width="14.42578125" style="18" customWidth="1"/>
    <x:col min="13829" max="13829" width="17.42578125" style="18" customWidth="1"/>
    <x:col min="13830" max="13832" width="14.42578125" style="18" customWidth="1"/>
    <x:col min="13833" max="14080" width="11.42578125" style="18" customWidth="0"/>
    <x:col min="14081" max="14081" width="14.42578125" style="18" customWidth="1"/>
    <x:col min="14082" max="14082" width="12" style="18" customWidth="1"/>
    <x:col min="14083" max="14084" width="14.42578125" style="18" customWidth="1"/>
    <x:col min="14085" max="14085" width="17.42578125" style="18" customWidth="1"/>
    <x:col min="14086" max="14088" width="14.42578125" style="18" customWidth="1"/>
    <x:col min="14089" max="14336" width="11.42578125" style="18" customWidth="0"/>
    <x:col min="14337" max="14337" width="14.42578125" style="18" customWidth="1"/>
    <x:col min="14338" max="14338" width="12" style="18" customWidth="1"/>
    <x:col min="14339" max="14340" width="14.42578125" style="18" customWidth="1"/>
    <x:col min="14341" max="14341" width="17.42578125" style="18" customWidth="1"/>
    <x:col min="14342" max="14344" width="14.42578125" style="18" customWidth="1"/>
    <x:col min="14345" max="14592" width="11.42578125" style="18" customWidth="0"/>
    <x:col min="14593" max="14593" width="14.42578125" style="18" customWidth="1"/>
    <x:col min="14594" max="14594" width="12" style="18" customWidth="1"/>
    <x:col min="14595" max="14596" width="14.42578125" style="18" customWidth="1"/>
    <x:col min="14597" max="14597" width="17.42578125" style="18" customWidth="1"/>
    <x:col min="14598" max="14600" width="14.42578125" style="18" customWidth="1"/>
    <x:col min="14601" max="14848" width="11.42578125" style="18" customWidth="0"/>
    <x:col min="14849" max="14849" width="14.42578125" style="18" customWidth="1"/>
    <x:col min="14850" max="14850" width="12" style="18" customWidth="1"/>
    <x:col min="14851" max="14852" width="14.42578125" style="18" customWidth="1"/>
    <x:col min="14853" max="14853" width="17.42578125" style="18" customWidth="1"/>
    <x:col min="14854" max="14856" width="14.42578125" style="18" customWidth="1"/>
    <x:col min="14857" max="15104" width="11.42578125" style="18" customWidth="0"/>
    <x:col min="15105" max="15105" width="14.42578125" style="18" customWidth="1"/>
    <x:col min="15106" max="15106" width="12" style="18" customWidth="1"/>
    <x:col min="15107" max="15108" width="14.42578125" style="18" customWidth="1"/>
    <x:col min="15109" max="15109" width="17.42578125" style="18" customWidth="1"/>
    <x:col min="15110" max="15112" width="14.42578125" style="18" customWidth="1"/>
    <x:col min="15113" max="15360" width="11.42578125" style="18" customWidth="0"/>
    <x:col min="15361" max="15361" width="14.42578125" style="18" customWidth="1"/>
    <x:col min="15362" max="15362" width="12" style="18" customWidth="1"/>
    <x:col min="15363" max="15364" width="14.42578125" style="18" customWidth="1"/>
    <x:col min="15365" max="15365" width="17.42578125" style="18" customWidth="1"/>
    <x:col min="15366" max="15368" width="14.42578125" style="18" customWidth="1"/>
    <x:col min="15369" max="15616" width="11.42578125" style="18" customWidth="0"/>
    <x:col min="15617" max="15617" width="14.42578125" style="18" customWidth="1"/>
    <x:col min="15618" max="15618" width="12" style="18" customWidth="1"/>
    <x:col min="15619" max="15620" width="14.42578125" style="18" customWidth="1"/>
    <x:col min="15621" max="15621" width="17.42578125" style="18" customWidth="1"/>
    <x:col min="15622" max="15624" width="14.42578125" style="18" customWidth="1"/>
    <x:col min="15625" max="15872" width="11.42578125" style="18" customWidth="0"/>
    <x:col min="15873" max="15873" width="14.42578125" style="18" customWidth="1"/>
    <x:col min="15874" max="15874" width="12" style="18" customWidth="1"/>
    <x:col min="15875" max="15876" width="14.42578125" style="18" customWidth="1"/>
    <x:col min="15877" max="15877" width="17.42578125" style="18" customWidth="1"/>
    <x:col min="15878" max="15880" width="14.42578125" style="18" customWidth="1"/>
    <x:col min="15881" max="16128" width="11.42578125" style="18" customWidth="0"/>
    <x:col min="16129" max="16129" width="14.42578125" style="18" customWidth="1"/>
    <x:col min="16130" max="16130" width="12" style="18" customWidth="1"/>
    <x:col min="16131" max="16132" width="14.42578125" style="18" customWidth="1"/>
    <x:col min="16133" max="16133" width="17.42578125" style="18" customWidth="1"/>
    <x:col min="16134" max="16136" width="14.42578125" style="18" customWidth="1"/>
    <x:col min="16137" max="16384" width="11.42578125" style="18" customWidth="0"/>
  </x:cols>
  <x:sheetData>
    <x:row r="1" ht="60" customHeight="1">
      <x:c r="B1" s="20"/>
      <x:c r="C1" s="20"/>
      <x:c r="D1" s="20"/>
      <x:c r="E1" s="20"/>
      <x:c r="F1" s="20"/>
      <x:c r="G1" s="20"/>
    </x:row>
    <x:row r="2" ht="15" customHeight="1">
      <x:c r="A2" s="61"/>
      <x:c r="B2" s="61"/>
      <x:c r="C2" s="61"/>
      <x:c r="D2" s="61"/>
      <x:c r="E2" s="61"/>
      <x:c r="F2" s="61"/>
      <x:c r="G2" s="61"/>
    </x:row>
    <x:row r="3" ht="21.75" customHeight="1">
      <x:c r="A3" s="168" t="s">
        <x:v>0</x:v>
      </x:c>
      <x:c r="B3" s="169"/>
      <x:c r="C3" s="169"/>
      <x:c r="D3" s="169"/>
      <x:c r="E3" s="169"/>
      <x:c r="F3" s="169"/>
      <x:c r="G3" s="170"/>
    </x:row>
    <x:row r="4" ht="12" customHeight="1">
      <x:c r="A4" s="171"/>
      <x:c r="B4" s="172"/>
      <x:c r="C4" s="172"/>
      <x:c r="D4" s="172"/>
      <x:c r="E4" s="172"/>
      <x:c r="F4" s="172"/>
      <x:c r="G4" s="173"/>
    </x:row>
    <x:row r="5">
      <x:c r="A5" s="174" t="s">
        <x:v>1</x:v>
      </x:c>
      <x:c r="B5" s="175"/>
      <x:c r="C5" s="175"/>
      <x:c r="D5" s="175"/>
      <x:c r="E5" s="175"/>
      <x:c r="F5" s="175"/>
      <x:c r="G5" s="176"/>
    </x:row>
    <x:row r="6" ht="15" customHeight="1">
      <x:c r="A6" s="177"/>
      <x:c r="B6" s="178"/>
      <x:c r="C6" s="178"/>
      <x:c r="D6" s="178"/>
      <x:c r="E6" s="178"/>
      <x:c r="F6" s="178"/>
      <x:c r="G6" s="179"/>
    </x:row>
    <x:row r="7">
      <x:c r="A7" s="177"/>
      <x:c r="B7" s="178"/>
      <x:c r="C7" s="178"/>
      <x:c r="D7" s="178"/>
      <x:c r="E7" s="178"/>
      <x:c r="F7" s="178"/>
      <x:c r="G7" s="179"/>
    </x:row>
    <x:row r="8" ht="16.5">
      <x:c r="A8" s="117" t="s">
        <x:v>2</x:v>
      </x:c>
      <x:c r="B8" s="118" t="s">
        <x:v>3</x:v>
      </x:c>
      <x:c r="C8" s="118"/>
      <x:c r="D8" s="119"/>
      <x:c r="E8" s="119"/>
      <x:c r="F8" s="119"/>
      <x:c r="G8" s="120"/>
    </x:row>
    <x:row r="9" s="19" customFormat="1" ht="27" customHeight="1">
      <x:c r="A9" s="121"/>
      <x:c r="B9" s="108" t="s">
        <x:v>4</x:v>
      </x:c>
      <x:c r="C9" s="19" t="s">
        <x:v>5</x:v>
      </x:c>
      <x:c r="G9" s="109"/>
    </x:row>
    <x:row r="10" s="19" customFormat="1" ht="27" customHeight="1">
      <x:c r="A10" s="121"/>
      <x:c r="B10" s="108" t="s">
        <x:v>6</x:v>
      </x:c>
      <x:c r="C10" s="112" t="s">
        <x:v>7</x:v>
      </x:c>
      <x:c r="G10" s="109"/>
    </x:row>
    <x:row r="11" s="19" customFormat="1" ht="27" customHeight="1">
      <x:c r="A11" s="117" t="s">
        <x:v>8</x:v>
      </x:c>
      <x:c r="B11" s="118" t="s">
        <x:v>9</x:v>
      </x:c>
      <x:c r="C11" s="122"/>
      <x:c r="D11" s="122"/>
      <x:c r="E11" s="122"/>
      <x:c r="F11" s="122"/>
      <x:c r="G11" s="123"/>
    </x:row>
    <x:row r="12" s="19" customFormat="1" ht="27" customHeight="1">
      <x:c r="A12" s="121"/>
      <x:c r="B12" s="108" t="s">
        <x:v>10</x:v>
      </x:c>
      <x:c r="C12" s="19" t="s">
        <x:v>11</x:v>
      </x:c>
      <x:c r="G12" s="109"/>
    </x:row>
    <x:row r="13" s="19" customFormat="1" ht="27" customHeight="1">
      <x:c r="A13" s="121"/>
      <x:c r="B13" s="108" t="s">
        <x:v>12</x:v>
      </x:c>
      <x:c r="C13" s="19" t="s">
        <x:v>13</x:v>
      </x:c>
      <x:c r="G13" s="109"/>
    </x:row>
    <x:row r="14" s="19" customFormat="1" ht="27" customHeight="1">
      <x:c r="A14" s="121"/>
      <x:c r="B14" s="108" t="s">
        <x:v>14</x:v>
      </x:c>
      <x:c r="C14" s="19" t="s">
        <x:v>15</x:v>
      </x:c>
      <x:c r="G14" s="109"/>
    </x:row>
    <x:row r="15" s="19" customFormat="1" ht="27" customHeight="1">
      <x:c r="A15" s="121"/>
      <x:c r="B15" s="108" t="s">
        <x:v>16</x:v>
      </x:c>
      <x:c r="C15" s="19" t="s">
        <x:v>17</x:v>
      </x:c>
      <x:c r="G15" s="109"/>
    </x:row>
    <x:row r="16" s="19" customFormat="1" ht="27" customHeight="1">
      <x:c r="A16" s="121"/>
      <x:c r="B16" s="108" t="s">
        <x:v>18</x:v>
      </x:c>
      <x:c r="C16" s="19" t="s">
        <x:v>19</x:v>
      </x:c>
      <x:c r="G16" s="109"/>
    </x:row>
    <x:row r="17" s="19" customFormat="1" ht="27" customHeight="1">
      <x:c r="A17" s="121"/>
      <x:c r="B17" s="108" t="s">
        <x:v>20</x:v>
      </x:c>
      <x:c r="C17" s="19" t="s">
        <x:v>21</x:v>
      </x:c>
      <x:c r="G17" s="109"/>
    </x:row>
    <x:row r="18" s="19" customFormat="1" ht="27" customHeight="1">
      <x:c r="A18" s="121"/>
      <x:c r="B18" s="108" t="s">
        <x:v>22</x:v>
      </x:c>
      <x:c r="C18" s="19" t="s">
        <x:v>23</x:v>
      </x:c>
      <x:c r="G18" s="109"/>
    </x:row>
    <x:row r="19" s="19" customFormat="1" ht="27" customHeight="1">
      <x:c r="A19" s="121"/>
      <x:c r="B19" s="108" t="s">
        <x:v>24</x:v>
      </x:c>
      <x:c r="C19" s="19" t="s">
        <x:v>25</x:v>
      </x:c>
      <x:c r="G19" s="109"/>
    </x:row>
    <x:row r="20" s="19" customFormat="1" ht="27" customHeight="1">
      <x:c r="A20" s="121"/>
      <x:c r="B20" s="108" t="s">
        <x:v>26</x:v>
      </x:c>
      <x:c r="C20" s="19" t="s">
        <x:v>27</x:v>
      </x:c>
      <x:c r="G20" s="109"/>
    </x:row>
    <x:row r="21" s="19" customFormat="1" ht="27" customHeight="1">
      <x:c r="A21" s="121"/>
      <x:c r="B21" s="108" t="s">
        <x:v>28</x:v>
      </x:c>
      <x:c r="C21" s="19" t="s">
        <x:v>29</x:v>
      </x:c>
      <x:c r="G21" s="109"/>
    </x:row>
    <x:row r="22" s="19" customFormat="1" ht="27" customHeight="1">
      <x:c r="A22" s="121"/>
      <x:c r="B22" s="108" t="s">
        <x:v>30</x:v>
      </x:c>
      <x:c r="C22" s="19" t="s">
        <x:v>31</x:v>
      </x:c>
      <x:c r="G22" s="109"/>
    </x:row>
    <x:row r="23" s="19" customFormat="1" ht="27" customHeight="1">
      <x:c r="A23" s="121"/>
      <x:c r="B23" s="108" t="s">
        <x:v>32</x:v>
      </x:c>
      <x:c r="C23" s="19" t="s">
        <x:v>33</x:v>
      </x:c>
      <x:c r="G23" s="109"/>
    </x:row>
    <x:row r="24" s="19" customFormat="1" ht="27" customHeight="1">
      <x:c r="A24" s="121"/>
      <x:c r="B24" s="108" t="s">
        <x:v>34</x:v>
      </x:c>
      <x:c r="C24" s="19" t="s">
        <x:v>35</x:v>
      </x:c>
      <x:c r="G24" s="109"/>
    </x:row>
    <x:row r="25" s="19" customFormat="1" ht="27" customHeight="1">
      <x:c r="A25" s="121"/>
      <x:c r="B25" s="108" t="s">
        <x:v>36</x:v>
      </x:c>
      <x:c r="C25" s="19" t="s">
        <x:v>37</x:v>
      </x:c>
      <x:c r="G25" s="109"/>
    </x:row>
    <x:row r="26" s="19" customFormat="1" ht="27" customHeight="1">
      <x:c r="A26" s="121"/>
      <x:c r="B26" s="108" t="s">
        <x:v>38</x:v>
      </x:c>
      <x:c r="C26" s="19" t="s">
        <x:v>39</x:v>
      </x:c>
      <x:c r="G26" s="109"/>
    </x:row>
    <x:row r="27" s="19" customFormat="1" ht="27" customHeight="1">
      <x:c r="A27" s="121"/>
      <x:c r="B27" s="108" t="s">
        <x:v>40</x:v>
      </x:c>
      <x:c r="C27" s="19" t="s">
        <x:v>41</x:v>
      </x:c>
      <x:c r="G27" s="109"/>
    </x:row>
    <x:row r="28" s="19" customFormat="1" ht="27" customHeight="1">
      <x:c r="A28" s="121"/>
      <x:c r="B28" s="108" t="s">
        <x:v>42</x:v>
      </x:c>
      <x:c r="C28" s="19" t="s">
        <x:v>43</x:v>
      </x:c>
      <x:c r="G28" s="109"/>
    </x:row>
    <x:row r="29" s="19" customFormat="1" ht="27" customHeight="1">
      <x:c r="A29" s="121"/>
      <x:c r="B29" s="108" t="s">
        <x:v>44</x:v>
      </x:c>
      <x:c r="C29" s="19" t="s">
        <x:v>45</x:v>
      </x:c>
      <x:c r="G29" s="109"/>
    </x:row>
    <x:row r="30" s="19" customFormat="1" ht="27" customHeight="1">
      <x:c r="A30" s="124"/>
      <x:c r="B30" s="108" t="s">
        <x:v>46</x:v>
      </x:c>
      <x:c r="C30" s="19" t="s">
        <x:v>47</x:v>
      </x:c>
      <x:c r="G30" s="109"/>
    </x:row>
    <x:row r="31" s="19" customFormat="1" ht="27" customHeight="1">
      <x:c r="A31" s="124"/>
      <x:c r="B31" s="108" t="s">
        <x:v>48</x:v>
      </x:c>
      <x:c r="C31" s="19" t="s">
        <x:v>49</x:v>
      </x:c>
      <x:c r="G31" s="109"/>
    </x:row>
    <x:row r="32" s="19" customFormat="1" ht="27" customHeight="1">
      <x:c r="A32" s="62"/>
      <x:c r="B32" s="63" t="s">
        <x:v>50</x:v>
      </x:c>
      <x:c r="C32" s="40" t="s">
        <x:v>51</x:v>
      </x:c>
      <x:c r="D32" s="40"/>
      <x:c r="E32" s="40"/>
      <x:c r="F32" s="40"/>
      <x:c r="G32" s="41"/>
    </x:row>
    <x:row r="33" ht="16.5">
      <x:c r="A33" s="64"/>
      <x:c r="B33" s="65"/>
      <x:c r="C33" s="65"/>
      <x:c r="D33" s="65"/>
      <x:c r="E33" s="65"/>
      <x:c r="F33" s="65"/>
      <x:c r="G33" s="66"/>
      <x:c r="H33" s="19"/>
      <x:c r="I33" s="19"/>
    </x:row>
    <x:row r="34">
      <x:c r="A34" s="125" t="s">
        <x:v>52</x:v>
      </x:c>
    </x:row>
    <x:row r="35">
      <x:c r="A35" s="67" t="s">
        <x:v>53</x:v>
      </x:c>
    </x:row>
  </x:sheetData>
  <x:mergeCells>
    <x:mergeCell ref="A3:G4"/>
    <x:mergeCell ref="A5:G7"/>
  </x:mergeCells>
  <x:hyperlinks>
    <x:hyperlink ref="B9" location="'Cuadro 1'!A1"/>
    <x:hyperlink ref="B10" location="'Cuadro 2'!A1"/>
    <x:hyperlink ref="B12" location="'Cuadro 3'!A1"/>
    <x:hyperlink ref="B13" location="'Cuadro 4'!A1"/>
    <x:hyperlink ref="B14" location="'Cuadro 5'!A1"/>
    <x:hyperlink ref="B15" location="'Cuadro 6'!A1"/>
    <x:hyperlink ref="B16" location="'Cuadro 7'!A1"/>
    <x:hyperlink ref="B17" location="'Cuadro 8'!A1"/>
    <x:hyperlink ref="B18" location="'Cuadro 9'!A1"/>
    <x:hyperlink ref="B19" location="'Cuadro 10'!A1"/>
    <x:hyperlink ref="B20" location="'Cuadro 11'!A1"/>
    <x:hyperlink ref="B21" location="'Cuadro 12'!A1"/>
    <x:hyperlink ref="B22" location="'Cuadro 13'!A1"/>
    <x:hyperlink ref="B23" location="'Cuadro 14'!A1"/>
    <x:hyperlink ref="B24" location="'Cuadro 15'!A1"/>
    <x:hyperlink ref="B25" location="'Cuadro 16'!A1"/>
    <x:hyperlink ref="B26" location="'Cuadro 17'!A1"/>
    <x:hyperlink ref="B27" location="'Cuadro 18'!A1"/>
    <x:hyperlink ref="B28" location="'Cuadro 19'!A1"/>
    <x:hyperlink ref="B29" location="'Cuadro 20'!A1"/>
    <x:hyperlink ref="B30" location="'Cuadro 21'!A1"/>
    <x:hyperlink ref="B31" location="'Cuadro 22'!A1"/>
    <x:hyperlink ref="B32" location="'Cuadro 23'!A1"/>
  </x:hyperlinks>
  <x:pageMargins left="0.7" right="0.7" top="0.75" bottom="0.75" header="0.3" footer="0.3"/>
  <x:drawing xmlns:r="http://schemas.openxmlformats.org/officeDocument/2006/relationships" r:id="R6ec0942fdef54721"/>
</x:worksheet>
</file>

<file path=xl/worksheets/sheet2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16.7109375" style="1" customWidth="1"/>
    <x:col min="3" max="3" width="29.28515625" style="1" customWidth="1"/>
    <x:col min="4" max="4" width="29.42578125" style="2" customWidth="1"/>
    <x:col min="5" max="5" width="22.7109375" style="2" customWidth="1"/>
    <x:col min="6" max="6" width="18.42578125" style="2" customWidth="1"/>
    <x:col min="7" max="7" width="26.140625" style="2" customWidth="1"/>
    <x:col min="8" max="16384" width="11.42578125" style="11" customWidth="0"/>
  </x:cols>
  <x:sheetData>
    <x:row r="1" s="3" customFormat="1" ht="14.25" customHeight="1">
      <x:c r="A1" s="1"/>
      <x:c r="B1" s="1"/>
      <x:c r="C1" s="1"/>
      <x:c r="D1" s="2"/>
      <x:c r="E1" s="2"/>
      <x:c r="F1" s="2"/>
      <x:c r="G1" s="2"/>
      <x:c r="H1" s="2"/>
    </x:row>
    <x:row r="2" s="3" customFormat="1" ht="14.25" customHeight="1">
      <x:c r="A2" s="1"/>
      <x:c r="B2" s="1"/>
      <x:c r="C2" s="1"/>
      <x:c r="D2" s="2"/>
      <x:c r="E2" s="4"/>
      <x:c r="F2" s="4"/>
      <x:c r="G2" s="4"/>
      <x:c r="H2" s="4"/>
    </x:row>
    <x:row r="3" s="3" customFormat="1" ht="14.25" customHeight="1">
      <x:c r="A3" s="1"/>
      <x:c r="B3" s="1"/>
      <x:c r="C3" s="1"/>
      <x:c r="D3" s="2"/>
      <x:c r="E3" s="4"/>
      <x:c r="F3" s="4"/>
      <x:c r="G3" s="4"/>
      <x:c r="H3" s="4"/>
    </x:row>
    <x:row r="4" s="3" customFormat="1" ht="14.25" customHeight="1">
      <x:c r="A4" s="1"/>
      <x:c r="B4" s="1"/>
      <x:c r="C4" s="1"/>
      <x:c r="D4" s="2"/>
      <x:c r="E4" s="4"/>
      <x:c r="F4" s="4"/>
      <x:c r="G4" s="4"/>
      <x:c r="H4" s="4"/>
    </x:row>
    <x:row r="5" s="3" customFormat="1" ht="14.25" customHeight="1">
      <x:c r="A5" s="1"/>
      <x:c r="B5" s="1"/>
      <x:c r="C5" s="1"/>
      <x:c r="D5" s="2"/>
      <x:c r="E5" s="4"/>
      <x:c r="F5" s="4"/>
      <x:c r="G5" s="4"/>
      <x:c r="H5" s="21" t="s">
        <x:v>54</x:v>
      </x:c>
    </x:row>
    <x:row r="6" s="3" customFormat="1" ht="15" customHeight="1">
      <x:c r="A6" s="5"/>
      <x:c r="B6" s="1"/>
      <x:c r="C6" s="1"/>
      <x:c r="D6" s="2"/>
      <x:c r="E6" s="2"/>
      <x:c r="F6" s="2"/>
      <x:c r="G6" s="2"/>
      <x:c r="H6" s="68"/>
    </x:row>
    <x:row r="7" s="3" customFormat="1" ht="34.5" customHeight="1">
      <x:c r="A7" s="180" t="s">
        <x:v>55</x:v>
      </x:c>
      <x:c r="B7" s="181"/>
      <x:c r="C7" s="181"/>
      <x:c r="D7" s="181"/>
      <x:c r="E7" s="181"/>
      <x:c r="F7" s="181"/>
      <x:c r="G7" s="181"/>
    </x:row>
    <x:row r="8" s="3" customFormat="1" ht="14.100000381469727" customHeight="1">
      <x:c r="A8" s="164" t="s">
        <x:v>56</x:v>
      </x:c>
      <x:c r="B8" s="87"/>
      <x:c r="C8" s="87"/>
      <x:c r="D8" s="87"/>
      <x:c r="E8" s="87"/>
      <x:c r="F8" s="87"/>
      <x:c r="G8" s="127"/>
    </x:row>
    <x:row r="9" s="3" customFormat="1" ht="14.100000381469727" customHeight="1">
      <x:c r="A9" s="126" t="s">
        <x:v>3</x:v>
      </x:c>
      <x:c r="B9" s="85"/>
      <x:c r="C9" s="85"/>
      <x:c r="D9" s="85"/>
      <x:c r="E9" s="85"/>
      <x:c r="F9" s="85"/>
      <x:c r="G9" s="91"/>
    </x:row>
    <x:row r="10" s="3" customFormat="1" ht="14.100000381469727" customHeight="1">
      <x:c r="A10" s="126" t="s">
        <x:v>57</x:v>
      </x:c>
      <x:c r="B10" s="85"/>
      <x:c r="C10" s="85"/>
      <x:c r="D10" s="85"/>
      <x:c r="E10" s="85"/>
      <x:c r="F10" s="85"/>
      <x:c r="G10" s="91"/>
    </x:row>
    <x:row r="11" s="3" customFormat="1" ht="14.100000381469727" customHeight="1">
      <x:c r="A11" s="89" t="s">
        <x:v>58</x:v>
      </x:c>
      <x:c r="B11" s="84"/>
      <x:c r="C11" s="84"/>
      <x:c r="D11" s="84"/>
      <x:c r="E11" s="84"/>
      <x:c r="F11" s="84"/>
      <x:c r="G11" s="90"/>
    </x:row>
    <x:row r="12" s="3" customFormat="1" ht="14.25" customHeight="1">
      <x:c r="A12" s="6"/>
      <x:c r="B12" s="7"/>
      <x:c r="C12" s="7"/>
      <x:c r="D12" s="8"/>
      <x:c r="E12" s="8"/>
      <x:c r="F12" s="8"/>
      <x:c r="G12" s="8"/>
      <x:c r="H12" s="9"/>
    </x:row>
    <x:row r="13" s="3" customFormat="1" ht="32.25" customHeight="1">
      <x:c r="A13" s="186"/>
      <x:c r="B13" s="184" t="s">
        <x:v>59</x:v>
      </x:c>
      <x:c r="C13" s="38" t="s">
        <x:v>60</x:v>
      </x:c>
      <x:c r="D13" s="38" t="s">
        <x:v>61</x:v>
      </x:c>
      <x:c r="E13" s="38" t="s">
        <x:v>62</x:v>
      </x:c>
      <x:c r="F13" s="38" t="s">
        <x:v>63</x:v>
      </x:c>
      <x:c r="G13" s="26" t="s">
        <x:v>64</x:v>
      </x:c>
      <x:c r="H13" s="1"/>
    </x:row>
    <x:row r="14" s="3" customFormat="1" ht="12">
      <x:c r="A14" s="187"/>
      <x:c r="B14" s="189"/>
      <x:c r="C14" s="184" t="s">
        <x:v>65</x:v>
      </x:c>
      <x:c r="D14" s="184" t="s">
        <x:v>66</x:v>
      </x:c>
      <x:c r="E14" s="184"/>
      <x:c r="F14" s="184"/>
      <x:c r="G14" s="182"/>
      <x:c r="H14" s="1"/>
    </x:row>
    <x:row r="15" s="3" customFormat="1" ht="12">
      <x:c r="A15" s="188"/>
      <x:c r="B15" s="185"/>
      <x:c r="C15" s="185"/>
      <x:c r="D15" s="185"/>
      <x:c r="E15" s="185"/>
      <x:c r="F15" s="185"/>
      <x:c r="G15" s="183"/>
      <x:c r="H15" s="1"/>
    </x:row>
    <x:row r="16" s="3" customFormat="1" ht="21" customHeight="1">
      <x:c r="A16" s="56"/>
      <x:c r="B16" s="47">
        <x:v>2005</x:v>
      </x:c>
      <x:c r="C16" s="36">
        <x:v>4.7009715118798949</x:v>
      </x:c>
      <x:c r="D16" s="23">
        <x:v>3.4713340481489969</x:v>
      </x:c>
      <x:c r="E16" s="23">
        <x:v>1.5496201062875441</x:v>
      </x:c>
      <x:c r="F16" s="23">
        <x:v>5.0209541544365415</x:v>
      </x:c>
      <x:c r="G16" s="128">
        <x:v>-0.31998264255664721</x:v>
      </x:c>
      <x:c r="H16" s="35"/>
    </x:row>
    <x:row r="17" s="3" customFormat="1" ht="21" customHeight="1">
      <x:c r="A17" s="69"/>
      <x:c r="B17" s="48">
        <x:v>2006</x:v>
      </x:c>
      <x:c r="C17" s="37">
        <x:v>5.9977968322105983</x:v>
      </x:c>
      <x:c r="D17" s="24">
        <x:v>-0.47031150708358771</x:v>
      </x:c>
      <x:c r="E17" s="24">
        <x:v>2.237337179076929</x:v>
      </x:c>
      <x:c r="F17" s="24">
        <x:v>1.7670256719933413</x:v>
      </x:c>
      <x:c r="G17" s="29">
        <x:v>4.230771160217258</x:v>
      </x:c>
      <x:c r="H17" s="35"/>
    </x:row>
    <x:row r="18" s="3" customFormat="1" ht="21" customHeight="1">
      <x:c r="A18" s="56"/>
      <x:c r="B18" s="47">
        <x:v>2007</x:v>
      </x:c>
      <x:c r="C18" s="36">
        <x:v>6.1237237158343829</x:v>
      </x:c>
      <x:c r="D18" s="23">
        <x:v>6.0043007209587627</x:v>
      </x:c>
      <x:c r="E18" s="23">
        <x:v>2.801600774611273</x:v>
      </x:c>
      <x:c r="F18" s="23">
        <x:v>8.8059014955700352</x:v>
      </x:c>
      <x:c r="G18" s="28">
        <x:v>-2.6821777797356519</x:v>
      </x:c>
      <x:c r="H18" s="35"/>
    </x:row>
    <x:row r="19" s="3" customFormat="1" ht="21" customHeight="1">
      <x:c r="A19" s="69"/>
      <x:c r="B19" s="48">
        <x:v>2008</x:v>
      </x:c>
      <x:c r="C19" s="37">
        <x:v>3.1089447876182281</x:v>
      </x:c>
      <x:c r="D19" s="24">
        <x:v>2.0921317423687671</x:v>
      </x:c>
      <x:c r="E19" s="24">
        <x:v>2.670913951553199</x:v>
      </x:c>
      <x:c r="F19" s="24">
        <x:v>4.7630456939219661</x:v>
      </x:c>
      <x:c r="G19" s="29">
        <x:v>-1.654100906303738</x:v>
      </x:c>
      <x:c r="H19" s="35"/>
    </x:row>
    <x:row r="20" s="3" customFormat="1" ht="21" customHeight="1">
      <x:c r="A20" s="56"/>
      <x:c r="B20" s="47">
        <x:v>2009</x:v>
      </x:c>
      <x:c r="C20" s="36">
        <x:v>1.3165193523232681</x:v>
      </x:c>
      <x:c r="D20" s="23">
        <x:v>0.33627222851787192</x:v>
      </x:c>
      <x:c r="E20" s="23">
        <x:v>2.032079730134178</x:v>
      </x:c>
      <x:c r="F20" s="23">
        <x:v>2.3683519586520498</x:v>
      </x:c>
      <x:c r="G20" s="28">
        <x:v>-1.0518326063287811</x:v>
      </x:c>
      <x:c r="H20" s="35"/>
    </x:row>
    <x:row r="21" s="3" customFormat="1" ht="21" customHeight="1">
      <x:c r="A21" s="69"/>
      <x:c r="B21" s="48">
        <x:v>2010</x:v>
      </x:c>
      <x:c r="C21" s="37">
        <x:v>4.2517406034811422</x:v>
      </x:c>
      <x:c r="D21" s="24">
        <x:v>3.7620949697342549</x:v>
      </x:c>
      <x:c r="E21" s="24">
        <x:v>2.192407430007294</x:v>
      </x:c>
      <x:c r="F21" s="24">
        <x:v>5.9545023997415489</x:v>
      </x:c>
      <x:c r="G21" s="29">
        <x:v>-1.7027617962604069</x:v>
      </x:c>
      <x:c r="H21" s="35"/>
    </x:row>
    <x:row r="22" s="3" customFormat="1" ht="21" customHeight="1">
      <x:c r="A22" s="56"/>
      <x:c r="B22" s="47">
        <x:v>2011</x:v>
      </x:c>
      <x:c r="C22" s="36">
        <x:v>6.4877818378896963</x:v>
      </x:c>
      <x:c r="D22" s="23">
        <x:v>3.0019317548833211</x:v>
      </x:c>
      <x:c r="E22" s="23">
        <x:v>3.021249438718157</x:v>
      </x:c>
      <x:c r="F22" s="23">
        <x:v>6.0231811936014781</x:v>
      </x:c>
      <x:c r="G22" s="28">
        <x:v>0.4646006442882184</x:v>
      </x:c>
      <x:c r="H22" s="35"/>
    </x:row>
    <x:row r="23" s="3" customFormat="1" ht="21" customHeight="1">
      <x:c r="A23" s="69"/>
      <x:c r="B23" s="48">
        <x:v>2012</x:v>
      </x:c>
      <x:c r="C23" s="37">
        <x:v>3.7862873856376829</x:v>
      </x:c>
      <x:c r="D23" s="24">
        <x:v>1.195842275249589</x:v>
      </x:c>
      <x:c r="E23" s="24">
        <x:v>3.0413673304198192</x:v>
      </x:c>
      <x:c r="F23" s="24">
        <x:v>4.237209605669408</x:v>
      </x:c>
      <x:c r="G23" s="29">
        <x:v>-0.45092222003172477</x:v>
      </x:c>
      <x:c r="H23" s="35"/>
    </x:row>
    <x:row r="24" s="3" customFormat="1" ht="21" customHeight="1">
      <x:c r="A24" s="56"/>
      <x:c r="B24" s="47">
        <x:v>2013</x:v>
      </x:c>
      <x:c r="C24" s="36">
        <x:v>5.1851779520814576</x:v>
      </x:c>
      <x:c r="D24" s="23">
        <x:v>1.866784688805891</x:v>
      </x:c>
      <x:c r="E24" s="23">
        <x:v>2.8582236365552038</x:v>
      </x:c>
      <x:c r="F24" s="23">
        <x:v>4.7250083253610953</x:v>
      </x:c>
      <x:c r="G24" s="28">
        <x:v>0.46016962672036388</x:v>
      </x:c>
      <x:c r="H24" s="35"/>
    </x:row>
    <x:row r="25" s="3" customFormat="1" ht="21" customHeight="1">
      <x:c r="A25" s="69"/>
      <x:c r="B25" s="48">
        <x:v>2014</x:v>
      </x:c>
      <x:c r="C25" s="37">
        <x:v>4.3596249296800584</x:v>
      </x:c>
      <x:c r="D25" s="24">
        <x:v>3.0068442157390551</x:v>
      </x:c>
      <x:c r="E25" s="24">
        <x:v>2.767127565302832</x:v>
      </x:c>
      <x:c r="F25" s="24">
        <x:v>5.7739717810418867</x:v>
      </x:c>
      <x:c r="G25" s="29">
        <x:v>-1.41434685136183</x:v>
      </x:c>
      <x:c r="H25" s="35"/>
    </x:row>
    <x:row r="26" s="3" customFormat="1" ht="21" customHeight="1">
      <x:c r="A26" s="56"/>
      <x:c r="B26" s="47">
        <x:v>2015</x:v>
      </x:c>
      <x:c r="C26" s="36">
        <x:v>3.0751661482423782</x:v>
      </x:c>
      <x:c r="D26" s="23">
        <x:v>0.48001651478369539</x:v>
      </x:c>
      <x:c r="E26" s="23">
        <x:v>1.822871445853548</x:v>
      </x:c>
      <x:c r="F26" s="23">
        <x:v>2.3028879606372432</x:v>
      </x:c>
      <x:c r="G26" s="28">
        <x:v>0.77227818760513434</x:v>
      </x:c>
      <x:c r="H26" s="35"/>
    </x:row>
    <x:row r="27" s="3" customFormat="1" ht="21" customHeight="1">
      <x:c r="A27" s="55"/>
      <x:c r="B27" s="48">
        <x:v>2016</x:v>
      </x:c>
      <x:c r="C27" s="37">
        <x:v>2.1953181864395308</x:v>
      </x:c>
      <x:c r="D27" s="24">
        <x:v>1.7740410055223019</x:v>
      </x:c>
      <x:c r="E27" s="24">
        <x:v>1.5813654489621169</x:v>
      </x:c>
      <x:c r="F27" s="24">
        <x:v>3.3554064544844189</x:v>
      </x:c>
      <x:c r="G27" s="29">
        <x:v>-1.1600882680448881</x:v>
      </x:c>
      <x:c r="H27" s="35"/>
    </x:row>
    <x:row r="28" s="3" customFormat="1" ht="21" customHeight="1">
      <x:c r="A28" s="56"/>
      <x:c r="B28" s="47">
        <x:v>2017</x:v>
      </x:c>
      <x:c r="C28" s="36">
        <x:v>1.347892270065693</x:v>
      </x:c>
      <x:c r="D28" s="23">
        <x:v>-0.32787224124462783</x:v>
      </x:c>
      <x:c r="E28" s="23">
        <x:v>1.481954365020892</x:v>
      </x:c>
      <x:c r="F28" s="23">
        <x:v>1.1540821237762642</x:v>
      </x:c>
      <x:c r="G28" s="28">
        <x:v>0.19381014628942861</x:v>
      </x:c>
      <x:c r="H28" s="35"/>
    </x:row>
    <x:row r="29" s="3" customFormat="1" ht="21" customHeight="1">
      <x:c r="A29" s="55"/>
      <x:c r="B29" s="48">
        <x:v>2018</x:v>
      </x:c>
      <x:c r="C29" s="37">
        <x:v>2.464298442475477</x:v>
      </x:c>
      <x:c r="D29" s="24">
        <x:v>1.0425081147062161</x:v>
      </x:c>
      <x:c r="E29" s="24">
        <x:v>1.1866765614405761</x:v>
      </x:c>
      <x:c r="F29" s="24">
        <x:v>2.2291846761467919</x:v>
      </x:c>
      <x:c r="G29" s="29">
        <x:v>0.2351137663286853</x:v>
      </x:c>
      <x:c r="H29" s="35"/>
    </x:row>
    <x:row r="30" s="3" customFormat="1" ht="21" customHeight="1">
      <x:c r="A30" s="56"/>
      <x:c r="B30" s="47">
        <x:v>2019</x:v>
      </x:c>
      <x:c r="C30" s="36">
        <x:v>3.0216543387251091</x:v>
      </x:c>
      <x:c r="D30" s="23">
        <x:v>1.4493368153946999</x:v>
      </x:c>
      <x:c r="E30" s="23">
        <x:v>1.342865800109361</x:v>
      </x:c>
      <x:c r="F30" s="23">
        <x:v>2.7922026155040607</x:v>
      </x:c>
      <x:c r="G30" s="28">
        <x:v>0.2294517232210479</x:v>
      </x:c>
      <x:c r="H30" s="35"/>
    </x:row>
    <x:row r="31" s="3" customFormat="1" ht="21" customHeight="1">
      <x:c r="A31" s="55"/>
      <x:c r="B31" s="48">
        <x:v>2020</x:v>
      </x:c>
      <x:c r="C31" s="37">
        <x:v>-7.5295345458177376</x:v>
      </x:c>
      <x:c r="D31" s="24">
        <x:v>-6.4805451778077394</x:v>
      </x:c>
      <x:c r="E31" s="24">
        <x:v>0.45392494501523462</x:v>
      </x:c>
      <x:c r="F31" s="24">
        <x:v>-6.0266202327925047</x:v>
      </x:c>
      <x:c r="G31" s="29">
        <x:v>-1.5029143130252329</x:v>
      </x:c>
      <x:c r="H31" s="35"/>
    </x:row>
    <x:row r="32" s="3" customFormat="1" ht="21" customHeight="1">
      <x:c r="A32" s="70"/>
      <x:c r="B32" s="49">
        <x:v>2021</x:v>
      </x:c>
      <x:c r="C32" s="83">
        <x:v>9.7053183073004181</x:v>
      </x:c>
      <x:c r="D32" s="50">
        <x:v>7.4121636409795526</x:v>
      </x:c>
      <x:c r="E32" s="50">
        <x:v>0.99542324899261292</x:v>
      </x:c>
      <x:c r="F32" s="50">
        <x:v>8.4075868899721655</x:v>
      </x:c>
      <x:c r="G32" s="51">
        <x:v>1.2977314173282499</x:v>
      </x:c>
      <x:c r="H32" s="35"/>
    </x:row>
    <x:row r="33" s="3" customFormat="1" ht="21" customHeight="1">
      <x:c r="A33" s="55"/>
      <x:c r="B33" s="48">
        <x:v>2022</x:v>
      </x:c>
      <x:c r="C33" s="37">
        <x:v>6.0770606801509883</x:v>
      </x:c>
      <x:c r="D33" s="24">
        <x:v>4.3989200590483426</x:v>
      </x:c>
      <x:c r="E33" s="24">
        <x:v>1.5455979694259521</x:v>
      </x:c>
      <x:c r="F33" s="24">
        <x:v>5.9445180284742944</x:v>
      </x:c>
      <x:c r="G33" s="29">
        <x:v>0.13254265167669491</x:v>
      </x:c>
      <x:c r="H33" s="35"/>
    </x:row>
    <x:row r="34" s="3" customFormat="1" ht="21" customHeight="1">
      <x:c r="A34" s="56"/>
      <x:c r="B34" s="47">
        <x:v>2023</x:v>
      </x:c>
      <x:c r="C34" s="23">
        <x:v>1.179188364720833</x:v>
      </x:c>
      <x:c r="D34" s="23">
        <x:v>1.4611973459602641</x:v>
      </x:c>
      <x:c r="E34" s="23">
        <x:v>0.64141179008795801</x:v>
      </x:c>
      <x:c r="F34" s="23">
        <x:v>2.1026091360482222</x:v>
      </x:c>
      <x:c r="G34" s="28">
        <x:v>-0.92342077132738876</x:v>
      </x:c>
      <x:c r="H34" s="35"/>
    </x:row>
    <x:row r="35" s="3" customFormat="1" ht="21" customHeight="1">
      <x:c r="A35" s="55"/>
      <x:c r="B35" s="48" t="s">
        <x:v>67</x:v>
      </x:c>
      <x:c r="C35" s="24">
        <x:v>1.630410050068724</x:v>
      </x:c>
      <x:c r="D35" s="24">
        <x:v>-0.22204591126918471</x:v>
      </x:c>
      <x:c r="E35" s="24">
        <x:v>0.64645782097323945</x:v>
      </x:c>
      <x:c r="F35" s="24">
        <x:v>0.42441190970405474</x:v>
      </x:c>
      <x:c r="G35" s="29">
        <x:v>1.2059981403646689</x:v>
      </x:c>
      <x:c r="H35" s="35"/>
    </x:row>
    <x:row r="36" s="3" customFormat="1" ht="21" customHeight="1">
      <x:c r="A36" s="56"/>
      <x:c r="B36" s="47" t="s">
        <x:v>68</x:v>
      </x:c>
      <x:c r="C36" s="23">
        <x:v>2.6560315407815041</x:v>
      </x:c>
      <x:c r="D36" s="23">
        <x:v>1.1136253035291168</x:v>
      </x:c>
      <x:c r="E36" s="23">
        <x:v>0.78873682914092602</x:v>
      </x:c>
      <x:c r="F36" s="23">
        <x:v>1.9023621326700428</x:v>
      </x:c>
      <x:c r="G36" s="28">
        <x:v>0.75366940811146166</x:v>
      </x:c>
      <x:c r="H36" s="35"/>
    </x:row>
    <x:row r="37" s="3" customFormat="1" ht="14.25">
      <x:c r="A37" s="129" t="s">
        <x:v>69</x:v>
      </x:c>
      <x:c r="B37" s="130"/>
      <x:c r="C37" s="131"/>
      <x:c r="D37" s="132"/>
      <x:c r="E37" s="132"/>
      <x:c r="F37" s="133"/>
      <x:c r="G37" s="134"/>
      <x:c r="H37" s="2"/>
    </x:row>
    <x:row r="38" s="3" customFormat="1" ht="14.25">
      <x:c r="A38" s="71" t="s">
        <x:v>70</x:v>
      </x:c>
      <x:c r="B38" s="39"/>
      <x:c r="C38" s="14"/>
      <x:c r="D38" s="15"/>
      <x:c r="E38" s="15"/>
      <x:c r="F38" s="16"/>
      <x:c r="G38" s="17"/>
      <x:c r="H38" s="2"/>
    </x:row>
    <x:row r="39" s="3" customFormat="1" ht="14.25">
      <x:c r="A39" s="135" t="s">
        <x:v>52</x:v>
      </x:c>
      <x:c r="B39" s="14"/>
      <x:c r="C39" s="14"/>
      <x:c r="D39" s="15"/>
      <x:c r="E39" s="15"/>
      <x:c r="F39" s="16"/>
      <x:c r="G39" s="17"/>
      <x:c r="H39" s="2"/>
    </x:row>
    <x:row r="40" s="3" customFormat="1" ht="14.25">
      <x:c r="A40" s="67" t="s">
        <x:v>53</x:v>
      </x:c>
      <x:c r="B40" s="14"/>
      <x:c r="C40" s="14"/>
      <x:c r="D40" s="15"/>
      <x:c r="E40" s="15"/>
      <x:c r="F40" s="16"/>
      <x:c r="G40" s="17"/>
      <x:c r="H40" s="2"/>
    </x:row>
    <x:row r="41" s="3" customFormat="1" ht="14.25">
      <x:c r="A41" s="136" t="s">
        <x:v>71</x:v>
      </x:c>
      <x:c r="B41" s="14"/>
      <x:c r="C41" s="14"/>
      <x:c r="D41" s="15"/>
      <x:c r="E41" s="15"/>
      <x:c r="F41" s="16"/>
      <x:c r="G41" s="17"/>
      <x:c r="H41" s="2"/>
    </x:row>
    <x:row r="42" s="3" customFormat="1" ht="12">
      <x:c r="A42" s="79" t="s">
        <x:v>72</x:v>
      </x:c>
      <x:c r="B42" s="72"/>
      <x:c r="C42" s="72"/>
      <x:c r="D42" s="31"/>
      <x:c r="E42" s="31"/>
      <x:c r="F42" s="31"/>
      <x:c r="G42" s="33"/>
      <x:c r="H42" s="2"/>
    </x:row>
    <x:row r="43">
      <x:c r="D43" s="12"/>
      <x:c r="E43" s="12"/>
      <x:c r="F43" s="12"/>
      <x:c r="G43" s="12"/>
    </x:row>
  </x:sheetData>
  <x:mergeCells>
    <x:mergeCell ref="A7:G7"/>
    <x:mergeCell ref="A13:A15"/>
    <x:mergeCell ref="B13:B15"/>
    <x:mergeCell ref="C14:C15"/>
    <x:mergeCell ref="D14:G15"/>
  </x:mergeCells>
  <x:hyperlinks>
    <x:hyperlink ref="H5" location="Índice!A1"/>
  </x:hyperlinks>
  <x:pageMargins left="0.7" right="0.7" top="0.75" bottom="0.75" header="0.3" footer="0.3"/>
  <x:drawing xmlns:r="http://schemas.openxmlformats.org/officeDocument/2006/relationships" r:id="R88ea9ce258ba4db6"/>
</x:worksheet>
</file>

<file path=xl/worksheets/sheet3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6.28515625" style="2" customWidth="1"/>
    <x:col min="5" max="5" width="19.85546875" style="2" customWidth="1"/>
    <x:col min="6" max="6" width="16.7109375" style="2" customWidth="1"/>
    <x:col min="7" max="7" width="15.140625" style="2" customWidth="1"/>
    <x:col min="8" max="8" width="14.7109375" style="2" customWidth="1"/>
    <x:col min="9" max="9" width="12.85546875" style="2" customWidth="1"/>
    <x:col min="10" max="10" width="15.28515625" style="2" customWidth="1"/>
    <x:col min="11" max="11" width="19.42578125" style="2" customWidth="1"/>
    <x:col min="12" max="16384" width="11.42578125" style="11" customWidth="0"/>
  </x:cols>
  <x:sheetData>
    <x:row r="1" s="3" customFormat="1" ht="14.25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</x:row>
    <x:row r="2" s="3" customFormat="1" ht="14.25" customHeight="1">
      <x:c r="A2" s="1"/>
      <x:c r="B2" s="1"/>
      <x:c r="C2" s="1"/>
      <x:c r="D2" s="2"/>
      <x:c r="E2" s="2"/>
      <x:c r="F2" s="2"/>
      <x:c r="G2" s="4"/>
      <x:c r="H2" s="4"/>
      <x:c r="I2" s="4"/>
      <x:c r="J2" s="4"/>
      <x:c r="K2" s="4"/>
      <x:c r="L2" s="4"/>
    </x:row>
    <x:row r="3" s="3" customFormat="1" ht="14.25" customHeight="1">
      <x:c r="A3" s="1"/>
      <x:c r="B3" s="1"/>
      <x:c r="C3" s="1"/>
      <x:c r="D3" s="2"/>
      <x:c r="E3" s="2"/>
      <x:c r="F3" s="2"/>
      <x:c r="G3" s="4"/>
      <x:c r="H3" s="4"/>
      <x:c r="I3" s="4"/>
      <x:c r="J3" s="4"/>
      <x:c r="K3" s="4"/>
      <x:c r="L3" s="4"/>
    </x:row>
    <x:row r="4" s="3" customFormat="1" ht="14.25" customHeight="1">
      <x:c r="A4" s="1"/>
      <x:c r="B4" s="1"/>
      <x:c r="C4" s="1"/>
      <x:c r="D4" s="2"/>
      <x:c r="E4" s="2"/>
      <x:c r="F4" s="2"/>
      <x:c r="G4" s="4"/>
      <x:c r="H4" s="4"/>
      <x:c r="I4" s="4"/>
      <x:c r="J4" s="4"/>
      <x:c r="K4" s="4"/>
      <x:c r="L4" s="4"/>
    </x:row>
    <x:row r="5" s="3" customFormat="1" ht="14.25" customHeight="1">
      <x:c r="A5" s="1"/>
      <x:c r="B5" s="1"/>
      <x:c r="C5" s="1"/>
      <x:c r="D5" s="2"/>
      <x:c r="E5" s="2"/>
      <x:c r="F5" s="2"/>
      <x:c r="G5" s="4"/>
      <x:c r="H5" s="4"/>
      <x:c r="I5" s="4"/>
      <x:c r="L5" s="21" t="s">
        <x:v>54</x:v>
      </x:c>
    </x:row>
    <x:row r="6" s="3" customFormat="1" ht="15" customHeight="1">
      <x:c r="A6" s="5"/>
      <x:c r="B6" s="1"/>
      <x:c r="C6" s="1"/>
      <x:c r="D6" s="2"/>
      <x:c r="E6" s="2"/>
      <x:c r="F6" s="2"/>
      <x:c r="G6" s="2"/>
      <x:c r="H6" s="2"/>
      <x:c r="I6" s="2"/>
      <x:c r="J6" s="68"/>
      <x:c r="K6" s="68"/>
      <x:c r="L6" s="68"/>
    </x:row>
    <x:row r="7" s="3" customFormat="1" ht="34.5" customHeight="1">
      <x:c r="A7" s="194" t="s">
        <x:v>55</x:v>
      </x:c>
      <x:c r="B7" s="195"/>
      <x:c r="C7" s="195"/>
      <x:c r="D7" s="195"/>
      <x:c r="E7" s="195"/>
      <x:c r="F7" s="195"/>
      <x:c r="G7" s="195"/>
      <x:c r="H7" s="195"/>
      <x:c r="I7" s="195"/>
      <x:c r="J7" s="195"/>
      <x:c r="K7" s="195"/>
    </x:row>
    <x:row r="8" s="3" customFormat="1" ht="12.600000381469727" customHeight="1">
      <x:c r="A8" s="164" t="s">
        <x:v>56</x:v>
      </x:c>
      <x:c r="B8" s="137"/>
      <x:c r="C8" s="137"/>
      <x:c r="D8" s="137"/>
      <x:c r="E8" s="137"/>
      <x:c r="F8" s="137"/>
      <x:c r="G8" s="165"/>
      <x:c r="H8" s="137"/>
      <x:c r="I8" s="137"/>
      <x:c r="J8" s="137"/>
      <x:c r="K8" s="138"/>
    </x:row>
    <x:row r="9" s="3" customFormat="1" ht="12.600000381469727" customHeight="1">
      <x:c r="A9" s="126" t="s">
        <x:v>3</x:v>
      </x:c>
      <x:c r="B9" s="85"/>
      <x:c r="C9" s="85"/>
      <x:c r="D9" s="85"/>
      <x:c r="E9" s="85"/>
      <x:c r="F9" s="85"/>
      <x:c r="G9" s="166"/>
      <x:c r="H9" s="85"/>
      <x:c r="I9" s="85"/>
      <x:c r="J9" s="85"/>
      <x:c r="K9" s="91"/>
    </x:row>
    <x:row r="10" s="3" customFormat="1" ht="12.600000381469727" customHeight="1">
      <x:c r="A10" s="126" t="s">
        <x:v>57</x:v>
      </x:c>
      <x:c r="B10" s="86"/>
      <x:c r="C10" s="86"/>
      <x:c r="D10" s="86"/>
      <x:c r="E10" s="86"/>
      <x:c r="F10" s="86"/>
      <x:c r="G10" s="167"/>
      <x:c r="H10" s="86"/>
      <x:c r="I10" s="86"/>
      <x:c r="J10" s="86"/>
      <x:c r="K10" s="88"/>
    </x:row>
    <x:row r="11" s="3" customFormat="1" ht="12.600000381469727" customHeight="1">
      <x:c r="A11" s="89" t="s">
        <x:v>58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90"/>
    </x:row>
    <x:row r="12" s="3" customFormat="1" ht="14.25" customHeight="1">
      <x:c r="A12" s="6"/>
      <x:c r="B12" s="7"/>
      <x:c r="C12" s="7"/>
      <x:c r="D12" s="8"/>
      <x:c r="E12" s="8"/>
      <x:c r="F12" s="8"/>
      <x:c r="G12" s="8"/>
      <x:c r="H12" s="8"/>
      <x:c r="I12" s="8"/>
      <x:c r="J12" s="8"/>
      <x:c r="K12" s="8"/>
      <x:c r="L12" s="9"/>
    </x:row>
    <x:row r="13" s="3" customFormat="1" ht="32.25" customHeight="1">
      <x:c r="A13" s="192"/>
      <x:c r="B13" s="193" t="s">
        <x:v>73</x:v>
      </x:c>
      <x:c r="C13" s="38" t="s">
        <x:v>74</x:v>
      </x:c>
      <x:c r="D13" s="196" t="s">
        <x:v>61</x:v>
      </x:c>
      <x:c r="E13" s="196"/>
      <x:c r="F13" s="196"/>
      <x:c r="G13" s="196" t="s">
        <x:v>62</x:v>
      </x:c>
      <x:c r="H13" s="196"/>
      <x:c r="I13" s="196"/>
      <x:c r="J13" s="38" t="s">
        <x:v>63</x:v>
      </x:c>
      <x:c r="K13" s="26" t="s">
        <x:v>64</x:v>
      </x:c>
    </x:row>
    <x:row r="14" s="3" customFormat="1" ht="22.5" customHeight="1">
      <x:c r="A14" s="187"/>
      <x:c r="B14" s="189"/>
      <x:c r="C14" s="193" t="s">
        <x:v>65</x:v>
      </x:c>
      <x:c r="D14" s="184" t="s">
        <x:v>66</x:v>
      </x:c>
      <x:c r="E14" s="184"/>
      <x:c r="F14" s="184"/>
      <x:c r="G14" s="184"/>
      <x:c r="H14" s="184"/>
      <x:c r="I14" s="184"/>
      <x:c r="J14" s="193" t="s">
        <x:v>66</x:v>
      </x:c>
      <x:c r="K14" s="197" t="s">
        <x:v>66</x:v>
      </x:c>
    </x:row>
    <x:row r="15" s="3" customFormat="1" ht="31.5" customHeight="1">
      <x:c r="A15" s="187"/>
      <x:c r="B15" s="189"/>
      <x:c r="C15" s="185"/>
      <x:c r="D15" s="52" t="s">
        <x:v>75</x:v>
      </x:c>
      <x:c r="E15" s="52" t="s">
        <x:v>76</x:v>
      </x:c>
      <x:c r="F15" s="52" t="s">
        <x:v>77</x:v>
      </x:c>
      <x:c r="G15" s="52" t="s">
        <x:v>78</x:v>
      </x:c>
      <x:c r="H15" s="52" t="s">
        <x:v>79</x:v>
      </x:c>
      <x:c r="I15" s="52" t="s">
        <x:v>80</x:v>
      </x:c>
      <x:c r="J15" s="189"/>
      <x:c r="K15" s="198"/>
    </x:row>
    <x:row r="16" s="3" customFormat="1" ht="27.75" customHeight="1">
      <x:c r="A16" s="139"/>
      <x:c r="B16" s="140" t="s">
        <x:v>81</x:v>
      </x:c>
      <x:c r="C16" s="141">
        <x:v>3.142178011293062</x:v>
      </x:c>
      <x:c r="D16" s="141">
        <x:v>0.22577374827141761</x:v>
      </x:c>
      <x:c r="E16" s="141">
        <x:v>1.366202659472626</x:v>
      </x:c>
      <x:c r="F16" s="141">
        <x:v>1.5919764077440437</x:v>
      </x:c>
      <x:c r="G16" s="141">
        <x:v>1.066942484226667</x:v>
      </x:c>
      <x:c r="H16" s="141">
        <x:v>5.6899326532430334E-3</x:v>
      </x:c>
      <x:c r="I16" s="141">
        <x:v>1.0726324168799102</x:v>
      </x:c>
      <x:c r="J16" s="141">
        <x:v>2.6646088246239539</x:v>
      </x:c>
      <x:c r="K16" s="142">
        <x:v>0.47756918666910853</x:v>
      </x:c>
      <x:c r="L16" s="35"/>
    </x:row>
    <x:row r="17" s="3" customFormat="1" ht="27.75" customHeight="1">
      <x:c r="A17" s="55"/>
      <x:c r="B17" s="7" t="s">
        <x:v>82</x:v>
      </x:c>
      <x:c r="C17" s="24">
        <x:v>-6.3868463202401138</x:v>
      </x:c>
      <x:c r="D17" s="24">
        <x:v>-1.598569942218915</x:v>
      </x:c>
      <x:c r="E17" s="24">
        <x:v>1.032054234680537</x:v>
      </x:c>
      <x:c r="F17" s="24">
        <x:v>-0.56651570753837799</x:v>
      </x:c>
      <x:c r="G17" s="24">
        <x:v>1.2219649982708889</x:v>
      </x:c>
      <x:c r="H17" s="24">
        <x:v>0.26354309949579169</x:v>
      </x:c>
      <x:c r="I17" s="24">
        <x:v>1.4855080977666806</x:v>
      </x:c>
      <x:c r="J17" s="24">
        <x:v>0.91899239022830259</x:v>
      </x:c>
      <x:c r="K17" s="29">
        <x:v>-7.3058387104684162</x:v>
      </x:c>
      <x:c r="L17" s="35"/>
    </x:row>
    <x:row r="18" s="3" customFormat="1" ht="27.75" customHeight="1">
      <x:c r="A18" s="56"/>
      <x:c r="B18" s="22" t="s">
        <x:v>83</x:v>
      </x:c>
      <x:c r="C18" s="23">
        <x:v>1.6364546134685301</x:v>
      </x:c>
      <x:c r="D18" s="23">
        <x:v>6.5855363345221601E-2</x:v>
      </x:c>
      <x:c r="E18" s="23">
        <x:v>2.312725752427045</x:v>
      </x:c>
      <x:c r="F18" s="23">
        <x:v>2.3785811157722665</x:v>
      </x:c>
      <x:c r="G18" s="23">
        <x:v>1.204422442647977</x:v>
      </x:c>
      <x:c r="H18" s="23">
        <x:v>1.7246804624532611E-2</x:v>
      </x:c>
      <x:c r="I18" s="23">
        <x:v>1.2216692472725097</x:v>
      </x:c>
      <x:c r="J18" s="23">
        <x:v>3.6002503630447764</x:v>
      </x:c>
      <x:c r="K18" s="28">
        <x:v>-1.963795749576247</x:v>
      </x:c>
      <x:c r="L18" s="35"/>
    </x:row>
    <x:row r="19" s="3" customFormat="1" ht="27.75" customHeight="1">
      <x:c r="A19" s="55"/>
      <x:c r="B19" s="7" t="s">
        <x:v>84</x:v>
      </x:c>
      <x:c r="C19" s="24">
        <x:v>1.623428549866013</x:v>
      </x:c>
      <x:c r="D19" s="24">
        <x:v>0.22918212720164349</x:v>
      </x:c>
      <x:c r="E19" s="24">
        <x:v>0.15054734840042749</x:v>
      </x:c>
      <x:c r="F19" s="24">
        <x:v>0.37972947560207099</x:v>
      </x:c>
      <x:c r="G19" s="24">
        <x:v>0.73301909998717119</x:v>
      </x:c>
      <x:c r="H19" s="24">
        <x:v>6.8306214331881436E-3</x:v>
      </x:c>
      <x:c r="I19" s="24">
        <x:v>0.73984972142035932</x:v>
      </x:c>
      <x:c r="J19" s="24">
        <x:v>1.1195791970224303</x:v>
      </x:c>
      <x:c r="K19" s="29">
        <x:v>0.50384935284358301</x:v>
      </x:c>
      <x:c r="L19" s="35"/>
    </x:row>
    <x:row r="20" s="3" customFormat="1" ht="27.75" customHeight="1">
      <x:c r="A20" s="56"/>
      <x:c r="B20" s="22" t="s">
        <x:v>85</x:v>
      </x:c>
      <x:c r="C20" s="23">
        <x:v>-2.806125054974284</x:v>
      </x:c>
      <x:c r="D20" s="23">
        <x:v>-0.33026063469340661</x:v>
      </x:c>
      <x:c r="E20" s="23">
        <x:v>1.606577722390353</x:v>
      </x:c>
      <x:c r="F20" s="23">
        <x:v>1.2763170876969463</x:v>
      </x:c>
      <x:c r="G20" s="23">
        <x:v>-3.5682619316541417E-2</x:v>
      </x:c>
      <x:c r="H20" s="23">
        <x:v>1.4016756538408479E-2</x:v>
      </x:c>
      <x:c r="I20" s="23">
        <x:v>-2.1665862778132938E-2</x:v>
      </x:c>
      <x:c r="J20" s="23">
        <x:v>1.2546512249188133</x:v>
      </x:c>
      <x:c r="K20" s="28">
        <x:v>-4.0607762798930978</x:v>
      </x:c>
      <x:c r="L20" s="35"/>
    </x:row>
    <x:row r="21" s="3" customFormat="1" ht="27.75" customHeight="1">
      <x:c r="A21" s="55"/>
      <x:c r="B21" s="7" t="s">
        <x:v>86</x:v>
      </x:c>
      <x:c r="C21" s="24">
        <x:v>5.2946404878953857</x:v>
      </x:c>
      <x:c r="D21" s="24">
        <x:v>9.3960556335530118E-2</x:v>
      </x:c>
      <x:c r="E21" s="24">
        <x:v>1.4945651566877109</x:v>
      </x:c>
      <x:c r="F21" s="24">
        <x:v>1.5885257130232411</x:v>
      </x:c>
      <x:c r="G21" s="24">
        <x:v>0.57001450001430509</x:v>
      </x:c>
      <x:c r="H21" s="24">
        <x:v>0.18854241673485861</x:v>
      </x:c>
      <x:c r="I21" s="24">
        <x:v>0.7585569167491637</x:v>
      </x:c>
      <x:c r="J21" s="24">
        <x:v>2.3470826297724048</x:v>
      </x:c>
      <x:c r="K21" s="29">
        <x:v>2.9475578581229809</x:v>
      </x:c>
      <x:c r="L21" s="35"/>
    </x:row>
    <x:row r="22" s="3" customFormat="1" ht="27.75" customHeight="1">
      <x:c r="A22" s="56"/>
      <x:c r="B22" s="22" t="s">
        <x:v>87</x:v>
      </x:c>
      <x:c r="C22" s="23">
        <x:v>1.806666306667815</x:v>
      </x:c>
      <x:c r="D22" s="23">
        <x:v>-0.15514750654736681</x:v>
      </x:c>
      <x:c r="E22" s="23">
        <x:v>3.4128848444769311</x:v>
      </x:c>
      <x:c r="F22" s="23">
        <x:v>3.2577373379295644</x:v>
      </x:c>
      <x:c r="G22" s="23">
        <x:v>0.18439830098130661</x:v>
      </x:c>
      <x:c r="H22" s="23">
        <x:v>0.20480714900519789</x:v>
      </x:c>
      <x:c r="I22" s="23">
        <x:v>0.38920544998650453</x:v>
      </x:c>
      <x:c r="J22" s="23">
        <x:v>3.646942787916069</x:v>
      </x:c>
      <x:c r="K22" s="28">
        <x:v>-1.8402764812482539</x:v>
      </x:c>
      <x:c r="L22" s="35"/>
    </x:row>
    <x:row r="23" s="3" customFormat="1" ht="27.75" customHeight="1">
      <x:c r="A23" s="55"/>
      <x:c r="B23" s="7" t="s">
        <x:v>88</x:v>
      </x:c>
      <x:c r="C23" s="24">
        <x:v>1.8934146714300939</x:v>
      </x:c>
      <x:c r="D23" s="24">
        <x:v>5.8133764230793861E-3</x:v>
      </x:c>
      <x:c r="E23" s="24">
        <x:v>-0.17007590941842571</x:v>
      </x:c>
      <x:c r="F23" s="24">
        <x:v>-0.16426253299534632</x:v>
      </x:c>
      <x:c r="G23" s="24">
        <x:v>1.1917129149980941</x:v>
      </x:c>
      <x:c r="H23" s="24">
        <x:v>7.6407807866379712E-2</x:v>
      </x:c>
      <x:c r="I23" s="24">
        <x:v>1.2681207228644737</x:v>
      </x:c>
      <x:c r="J23" s="24">
        <x:v>1.1038581898691273</x:v>
      </x:c>
      <x:c r="K23" s="29">
        <x:v>0.78955648156096658</x:v>
      </x:c>
      <x:c r="L23" s="35"/>
    </x:row>
    <x:row r="24" s="3" customFormat="1" ht="27.75" customHeight="1">
      <x:c r="A24" s="56"/>
      <x:c r="B24" s="22" t="s">
        <x:v>89</x:v>
      </x:c>
      <x:c r="C24" s="23">
        <x:v>5.2971186534406911</x:v>
      </x:c>
      <x:c r="D24" s="23">
        <x:v>-0.58741793046361168</x:v>
      </x:c>
      <x:c r="E24" s="23">
        <x:v>1.302512920667676</x:v>
      </x:c>
      <x:c r="F24" s="23">
        <x:v>0.71509499020406431</x:v>
      </x:c>
      <x:c r="G24" s="23">
        <x:v>0.16357431376276221</x:v>
      </x:c>
      <x:c r="H24" s="23">
        <x:v>2.6259912239670079E-2</x:v>
      </x:c>
      <x:c r="I24" s="23">
        <x:v>0.1898342260024323</x:v>
      </x:c>
      <x:c r="J24" s="23">
        <x:v>0.90492921620649658</x:v>
      </x:c>
      <x:c r="K24" s="28">
        <x:v>4.3921894372341947</x:v>
      </x:c>
      <x:c r="L24" s="35"/>
    </x:row>
    <x:row r="25" s="3" customFormat="1" ht="27.75" customHeight="1">
      <x:c r="A25" s="57"/>
      <x:c r="B25" s="58" t="s">
        <x:v>90</x:v>
      </x:c>
      <x:c r="C25" s="59">
        <x:v>2.6560315407815041</x:v>
      </x:c>
      <x:c r="D25" s="59">
        <x:v>-0.17176941099085921</x:v>
      </x:c>
      <x:c r="E25" s="59">
        <x:v>1.285394714519976</x:v>
      </x:c>
      <x:c r="F25" s="59">
        <x:v>1.1136253035291168</x:v>
      </x:c>
      <x:c r="G25" s="59">
        <x:v>0.70719610537974165</x:v>
      </x:c>
      <x:c r="H25" s="59">
        <x:v>8.1540723761184333E-2</x:v>
      </x:c>
      <x:c r="I25" s="59">
        <x:v>0.78873682914092602</x:v>
      </x:c>
      <x:c r="J25" s="59">
        <x:v>1.9023621326700428</x:v>
      </x:c>
      <x:c r="K25" s="60">
        <x:v>0.75366940811146166</x:v>
      </x:c>
      <x:c r="L25" s="35"/>
    </x:row>
    <x:row r="26">
      <x:c r="A26" s="10"/>
      <x:c r="B26" s="73"/>
      <x:c r="C26" s="73"/>
      <x:c r="D26" s="74"/>
      <x:c r="E26" s="74"/>
      <x:c r="F26" s="74"/>
      <x:c r="G26" s="74"/>
      <x:c r="H26" s="75"/>
      <x:c r="I26" s="76"/>
      <x:c r="J26" s="53"/>
      <x:c r="K26" s="54"/>
    </x:row>
    <x:row r="27" s="3" customFormat="1" ht="14.25">
      <x:c r="A27" s="143" t="s">
        <x:v>91</x:v>
      </x:c>
      <x:c r="B27" s="144"/>
      <x:c r="C27" s="144"/>
      <x:c r="D27" s="145"/>
      <x:c r="E27" s="145"/>
      <x:c r="F27" s="145"/>
      <x:c r="G27" s="145"/>
      <x:c r="H27" s="146"/>
      <x:c r="I27" s="147"/>
      <x:c r="J27" s="147"/>
      <x:c r="K27" s="148"/>
      <x:c r="L27" s="2"/>
    </x:row>
    <x:row r="28" s="3" customFormat="1" ht="14.25">
      <x:c r="A28" s="190" t="s">
        <x:v>92</x:v>
      </x:c>
      <x:c r="B28" s="191"/>
      <x:c r="C28" s="191"/>
      <x:c r="D28" s="191"/>
      <x:c r="E28" s="191"/>
      <x:c r="F28" s="191"/>
      <x:c r="G28" s="191"/>
      <x:c r="H28" s="191"/>
      <x:c r="I28" s="191"/>
      <x:c r="J28" s="191"/>
      <x:c r="K28" s="17"/>
      <x:c r="L28" s="2"/>
    </x:row>
    <x:row r="29" s="3" customFormat="1" ht="14.25">
      <x:c r="A29" s="77" t="s">
        <x:v>93</x:v>
      </x:c>
      <x:c r="B29" s="14"/>
      <x:c r="C29" s="14"/>
      <x:c r="D29" s="15"/>
      <x:c r="E29" s="15"/>
      <x:c r="F29" s="15"/>
      <x:c r="G29" s="15"/>
      <x:c r="H29" s="16"/>
      <x:c r="I29" s="16"/>
      <x:c r="J29" s="16"/>
      <x:c r="K29" s="17"/>
      <x:c r="L29" s="2"/>
    </x:row>
    <x:row r="30" s="3" customFormat="1" ht="14.25">
      <x:c r="A30" s="78" t="s">
        <x:v>94</x:v>
      </x:c>
      <x:c r="B30" s="14"/>
      <x:c r="C30" s="14"/>
      <x:c r="D30" s="15"/>
      <x:c r="E30" s="15"/>
      <x:c r="F30" s="15"/>
      <x:c r="G30" s="15"/>
      <x:c r="H30" s="16"/>
      <x:c r="I30" s="16"/>
      <x:c r="J30" s="16"/>
      <x:c r="K30" s="17"/>
      <x:c r="L30" s="2"/>
    </x:row>
    <x:row r="31" s="3" customFormat="1" ht="14.25">
      <x:c r="A31" s="111" t="s">
        <x:v>71</x:v>
      </x:c>
      <x:c r="B31" s="14"/>
      <x:c r="C31" s="14"/>
      <x:c r="D31" s="15"/>
      <x:c r="E31" s="15"/>
      <x:c r="F31" s="15"/>
      <x:c r="G31" s="15"/>
      <x:c r="H31" s="16"/>
      <x:c r="I31" s="16"/>
      <x:c r="J31" s="16"/>
      <x:c r="K31" s="17"/>
      <x:c r="L31" s="2"/>
    </x:row>
    <x:row r="32" s="3" customFormat="1" ht="12">
      <x:c r="A32" s="79" t="s">
        <x:v>72</x:v>
      </x:c>
      <x:c r="B32" s="72"/>
      <x:c r="C32" s="72"/>
      <x:c r="D32" s="31"/>
      <x:c r="E32" s="31"/>
      <x:c r="F32" s="31"/>
      <x:c r="G32" s="31"/>
      <x:c r="H32" s="31"/>
      <x:c r="I32" s="31"/>
      <x:c r="J32" s="31"/>
      <x:c r="K32" s="33"/>
      <x:c r="L32" s="2"/>
    </x:row>
    <x:row r="33">
      <x:c r="D33" s="12"/>
      <x:c r="E33" s="12"/>
      <x:c r="F33" s="12"/>
      <x:c r="G33" s="12"/>
      <x:c r="H33" s="12"/>
      <x:c r="I33" s="12"/>
    </x:row>
  </x:sheetData>
  <x:mergeCells>
    <x:mergeCell ref="A28:J28"/>
    <x:mergeCell ref="A13:A15"/>
    <x:mergeCell ref="B13:B15"/>
    <x:mergeCell ref="C14:C15"/>
    <x:mergeCell ref="A7:K7"/>
    <x:mergeCell ref="G13:I13"/>
    <x:mergeCell ref="J14:J15"/>
    <x:mergeCell ref="K14:K15"/>
    <x:mergeCell ref="D13:F13"/>
    <x:mergeCell ref="D14:I14"/>
  </x:mergeCells>
  <x:hyperlinks>
    <x:hyperlink ref="L5" location="Índice!A1"/>
  </x:hyperlinks>
  <x:pageMargins left="0.7" right="0.7" top="0.75" bottom="0.75" header="0.3" footer="0.3"/>
  <x:drawing xmlns:r="http://schemas.openxmlformats.org/officeDocument/2006/relationships" r:id="R13a71838710f4c6b"/>
</x:worksheet>
</file>

<file path=xl/worksheets/sheet4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16.7109375" style="1" customWidth="1"/>
    <x:col min="3" max="3" width="29.28515625" style="1" customWidth="1"/>
    <x:col min="4" max="5" width="18" style="1" customWidth="1"/>
    <x:col min="6" max="6" width="20.42578125" style="2" customWidth="1"/>
    <x:col min="7" max="7" width="21.140625" style="2" customWidth="1"/>
    <x:col min="8" max="8" width="20.28515625" style="2" customWidth="1"/>
    <x:col min="9" max="9" width="18.42578125" style="2" customWidth="1"/>
    <x:col min="10" max="10" width="26.140625" style="2" customWidth="1"/>
    <x:col min="11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J5" s="4"/>
      <x:c r="K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2"/>
      <x:c r="K6" s="68"/>
    </x:row>
    <x:row r="7" s="3" customFormat="1" ht="34.5" customHeight="1">
      <x:c r="A7" s="199" t="s">
        <x:v>55</x:v>
      </x:c>
      <x:c r="B7" s="200"/>
      <x:c r="C7" s="200"/>
      <x:c r="D7" s="200"/>
      <x:c r="E7" s="200"/>
      <x:c r="F7" s="200"/>
      <x:c r="G7" s="200"/>
      <x:c r="H7" s="200"/>
      <x:c r="I7" s="200"/>
      <x:c r="J7" s="200"/>
    </x:row>
    <x:row r="8" s="3" customFormat="1" ht="15" customHeight="1">
      <x:c r="A8" s="164" t="s">
        <x:v>56</x:v>
      </x:c>
      <x:c r="B8" s="137"/>
      <x:c r="C8" s="137"/>
      <x:c r="D8" s="137"/>
      <x:c r="E8" s="137"/>
      <x:c r="F8" s="137"/>
      <x:c r="G8" s="137"/>
      <x:c r="H8" s="137"/>
      <x:c r="I8" s="137"/>
      <x:c r="J8" s="138"/>
    </x:row>
    <x:row r="9" s="3" customFormat="1" ht="15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91"/>
    </x:row>
    <x:row r="10" s="3" customFormat="1" ht="15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8"/>
    </x:row>
    <x:row r="11" s="3" customFormat="1" ht="15" customHeight="1">
      <x:c r="A11" s="89" t="s">
        <x:v>95</x:v>
      </x:c>
      <x:c r="B11" s="84"/>
      <x:c r="C11" s="84"/>
      <x:c r="D11" s="84"/>
      <x:c r="E11" s="84"/>
      <x:c r="F11" s="84"/>
      <x:c r="G11" s="84"/>
      <x:c r="H11" s="84"/>
      <x:c r="I11" s="84"/>
      <x:c r="J11" s="90"/>
    </x:row>
    <x:row r="12" s="3" customFormat="1" ht="14.25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9"/>
    </x:row>
    <x:row r="13" s="3" customFormat="1" ht="32.25" customHeight="1">
      <x:c r="A13" s="201"/>
      <x:c r="B13" s="204" t="s">
        <x:v>59</x:v>
      </x:c>
      <x:c r="C13" s="113" t="s">
        <x:v>96</x:v>
      </x:c>
      <x:c r="D13" s="207" t="s">
        <x:v>61</x:v>
      </x:c>
      <x:c r="E13" s="207"/>
      <x:c r="F13" s="207"/>
      <x:c r="G13" s="113" t="s">
        <x:v>62</x:v>
      </x:c>
      <x:c r="H13" s="113" t="s">
        <x:v>97</x:v>
      </x:c>
      <x:c r="I13" s="113" t="s">
        <x:v>63</x:v>
      </x:c>
      <x:c r="J13" s="114" t="s">
        <x:v>64</x:v>
      </x:c>
      <x:c r="K13" s="1"/>
    </x:row>
    <x:row r="14" s="3" customFormat="1" ht="21" customHeight="1">
      <x:c r="A14" s="202"/>
      <x:c r="B14" s="205"/>
      <x:c r="C14" s="193" t="s">
        <x:v>65</x:v>
      </x:c>
      <x:c r="D14" s="193" t="s">
        <x:v>98</x:v>
      </x:c>
      <x:c r="E14" s="193"/>
      <x:c r="F14" s="193"/>
      <x:c r="G14" s="184" t="s">
        <x:v>98</x:v>
      </x:c>
      <x:c r="H14" s="184"/>
      <x:c r="I14" s="184"/>
      <x:c r="J14" s="220"/>
      <x:c r="K14" s="1"/>
    </x:row>
    <x:row r="15" s="3" customFormat="1" ht="21" customHeight="1">
      <x:c r="A15" s="203"/>
      <x:c r="B15" s="206"/>
      <x:c r="C15" s="206"/>
      <x:c r="D15" s="115" t="s">
        <x:v>99</x:v>
      </x:c>
      <x:c r="E15" s="115" t="s">
        <x:v>100</x:v>
      </x:c>
      <x:c r="F15" s="115" t="s">
        <x:v>77</x:v>
      </x:c>
      <x:c r="G15" s="206"/>
      <x:c r="H15" s="206"/>
      <x:c r="I15" s="206"/>
      <x:c r="J15" s="208"/>
      <x:c r="K15" s="1"/>
    </x:row>
    <x:row r="16" s="3" customFormat="1" ht="21" customHeight="1">
      <x:c r="A16" s="80"/>
      <x:c r="B16" s="47">
        <x:v>2005</x:v>
      </x:c>
      <x:c r="C16" s="36">
        <x:v>5.2667104630482413</x:v>
      </x:c>
      <x:c r="D16" s="36">
        <x:v>0.84542709643623881</x:v>
      </x:c>
      <x:c r="E16" s="36">
        <x:v>0.98301030128211775</x:v>
      </x:c>
      <x:c r="F16" s="23">
        <x:v>1.8284373977183566</x:v>
      </x:c>
      <x:c r="G16" s="23">
        <x:v>0.75174178573931272</x:v>
      </x:c>
      <x:c r="H16" s="23">
        <x:v>2.6142745657227855</x:v>
      </x:c>
      <x:c r="I16" s="23">
        <x:v>5.1944537491804548</x:v>
      </x:c>
      <x:c r="J16" s="28">
        <x:v>7.3211350259458574E-2</x:v>
      </x:c>
      <x:c r="K16" s="35"/>
    </x:row>
    <x:row r="17" s="3" customFormat="1" ht="21" customHeight="1">
      <x:c r="A17" s="107"/>
      <x:c r="B17" s="48">
        <x:v>2006</x:v>
      </x:c>
      <x:c r="C17" s="37">
        <x:v>6.5388780851288617</x:v>
      </x:c>
      <x:c r="D17" s="37">
        <x:v>-0.16230339717827155</x:v>
      </x:c>
      <x:c r="E17" s="37">
        <x:v>-8.2792320372560513E-2</x:v>
      </x:c>
      <x:c r="F17" s="24">
        <x:v>-0.24509571755083207</x:v>
      </x:c>
      <x:c r="G17" s="24">
        <x:v>1.166100268941223</x:v>
      </x:c>
      <x:c r="H17" s="24">
        <x:v>3.4118812391777174</x:v>
      </x:c>
      <x:c r="I17" s="24">
        <x:v>4.332885790568108</x:v>
      </x:c>
      <x:c r="J17" s="29">
        <x:v>2.2059964114083219</x:v>
      </x:c>
      <x:c r="K17" s="35"/>
    </x:row>
    <x:row r="18" s="3" customFormat="1" ht="21" customHeight="1">
      <x:c r="A18" s="80"/>
      <x:c r="B18" s="47">
        <x:v>2007</x:v>
      </x:c>
      <x:c r="C18" s="36">
        <x:v>6.1080525619143238</x:v>
      </x:c>
      <x:c r="D18" s="36">
        <x:v>1.2521591607121858</x:v>
      </x:c>
      <x:c r="E18" s="36">
        <x:v>1.8668947928646058</x:v>
      </x:c>
      <x:c r="F18" s="23">
        <x:v>3.1190539535767918</x:v>
      </x:c>
      <x:c r="G18" s="23">
        <x:v>1.4560166736703199</x:v>
      </x:c>
      <x:c r="H18" s="23">
        <x:v>2.9197336355705765</x:v>
      </x:c>
      <x:c r="I18" s="23">
        <x:v>7.4948042628176879</x:v>
      </x:c>
      <x:c r="J18" s="28">
        <x:v>-1.386751411319521</x:v>
      </x:c>
      <x:c r="K18" s="35"/>
    </x:row>
    <x:row r="19" s="3" customFormat="1" ht="21" customHeight="1">
      <x:c r="A19" s="107"/>
      <x:c r="B19" s="48">
        <x:v>2008</x:v>
      </x:c>
      <x:c r="C19" s="37">
        <x:v>3.536170098948586</x:v>
      </x:c>
      <x:c r="D19" s="37">
        <x:v>0.45263527560165562</x:v>
      </x:c>
      <x:c r="E19" s="37">
        <x:v>0.64774176303222364</x:v>
      </x:c>
      <x:c r="F19" s="24">
        <x:v>1.1003770386338791</x:v>
      </x:c>
      <x:c r="G19" s="24">
        <x:v>1.304832070775015</x:v>
      </x:c>
      <x:c r="H19" s="24">
        <x:v>1.9334770665350069</x:v>
      </x:c>
      <x:c r="I19" s="24">
        <x:v>4.3386861759439013</x:v>
      </x:c>
      <x:c r="J19" s="29">
        <x:v>-0.80251670624726579</x:v>
      </x:c>
      <x:c r="K19" s="35"/>
    </x:row>
    <x:row r="20" s="3" customFormat="1" ht="21" customHeight="1">
      <x:c r="A20" s="80"/>
      <x:c r="B20" s="47">
        <x:v>2009</x:v>
      </x:c>
      <x:c r="C20" s="36">
        <x:v>0.20901759025938371</x:v>
      </x:c>
      <x:c r="D20" s="36">
        <x:v>0.33446430272378286</x:v>
      </x:c>
      <x:c r="E20" s="36">
        <x:v>-0.13935858128010944</x:v>
      </x:c>
      <x:c r="F20" s="23">
        <x:v>0.19510572144367341</x:v>
      </x:c>
      <x:c r="G20" s="23">
        <x:v>1.060218517273289</x:v>
      </x:c>
      <x:c r="H20" s="23">
        <x:v>-0.47845398892259294</x:v>
      </x:c>
      <x:c r="I20" s="23">
        <x:v>0.77687024979436947</x:v>
      </x:c>
      <x:c r="J20" s="28">
        <x:v>-0.56785344181320208</x:v>
      </x:c>
      <x:c r="K20" s="35"/>
    </x:row>
    <x:row r="21" s="3" customFormat="1" ht="21" customHeight="1">
      <x:c r="A21" s="107"/>
      <x:c r="B21" s="48">
        <x:v>2010</x:v>
      </x:c>
      <x:c r="C21" s="37">
        <x:v>3.896883927467329</x:v>
      </x:c>
      <x:c r="D21" s="37">
        <x:v>0.7807699257807178</x:v>
      </x:c>
      <x:c r="E21" s="37">
        <x:v>1.2641354630026598</x:v>
      </x:c>
      <x:c r="F21" s="24">
        <x:v>2.0449053887833775</x:v>
      </x:c>
      <x:c r="G21" s="24">
        <x:v>1.108460275089044</x:v>
      </x:c>
      <x:c r="H21" s="24">
        <x:v>1.6730966096412381</x:v>
      </x:c>
      <x:c r="I21" s="24">
        <x:v>4.8264622735136591</x:v>
      </x:c>
      <x:c r="J21" s="29">
        <x:v>-0.92958455314496402</x:v>
      </x:c>
      <x:c r="K21" s="35"/>
    </x:row>
    <x:row r="22" s="3" customFormat="1" ht="21" customHeight="1">
      <x:c r="A22" s="80"/>
      <x:c r="B22" s="47">
        <x:v>2011</x:v>
      </x:c>
      <x:c r="C22" s="36">
        <x:v>6.4001320435184716</x:v>
      </x:c>
      <x:c r="D22" s="36">
        <x:v>0.65443852548165682</x:v>
      </x:c>
      <x:c r="E22" s="36">
        <x:v>0.95277028006541475</x:v>
      </x:c>
      <x:c r="F22" s="23">
        <x:v>1.6072088055470717</x:v>
      </x:c>
      <x:c r="G22" s="23">
        <x:v>1.5014853742552321</x:v>
      </x:c>
      <x:c r="H22" s="23">
        <x:v>3.0161892124774803</x:v>
      </x:c>
      <x:c r="I22" s="23">
        <x:v>6.1248833922797843</x:v>
      </x:c>
      <x:c r="J22" s="28">
        <x:v>0.27524865123868458</x:v>
      </x:c>
      <x:c r="K22" s="35"/>
    </x:row>
    <x:row r="23" s="3" customFormat="1" ht="21" customHeight="1">
      <x:c r="A23" s="107"/>
      <x:c r="B23" s="48">
        <x:v>2012</x:v>
      </x:c>
      <x:c r="C23" s="37">
        <x:v>3.2943194226603012</x:v>
      </x:c>
      <x:c r="D23" s="37">
        <x:v>0.16417966985607799</x:v>
      </x:c>
      <x:c r="E23" s="37">
        <x:v>0.48923549178905412</x:v>
      </x:c>
      <x:c r="F23" s="24">
        <x:v>0.65341516164513214</x:v>
      </x:c>
      <x:c r="G23" s="24">
        <x:v>1.479145007095432</x:v>
      </x:c>
      <x:c r="H23" s="24">
        <x:v>1.3197342232660538</x:v>
      </x:c>
      <x:c r="I23" s="24">
        <x:v>3.452294392006618</x:v>
      </x:c>
      <x:c r="J23" s="29">
        <x:v>-0.15797496934636421</x:v>
      </x:c>
      <x:c r="K23" s="35"/>
    </x:row>
    <x:row r="24" s="3" customFormat="1" ht="21" customHeight="1">
      <x:c r="A24" s="80"/>
      <x:c r="B24" s="47">
        <x:v>2013</x:v>
      </x:c>
      <x:c r="C24" s="36">
        <x:v>4.7632386236857549</x:v>
      </x:c>
      <x:c r="D24" s="36">
        <x:v>0.48640438009177978</x:v>
      </x:c>
      <x:c r="E24" s="36">
        <x:v>0.52557609398877003</x:v>
      </x:c>
      <x:c r="F24" s="23">
        <x:v>1.0119804740805498</x:v>
      </x:c>
      <x:c r="G24" s="23">
        <x:v>1.4011831493174209</x:v>
      </x:c>
      <x:c r="H24" s="23">
        <x:v>2.0434604394623315</x:v>
      </x:c>
      <x:c r="I24" s="23">
        <x:v>4.4566240628603015</x:v>
      </x:c>
      <x:c r="J24" s="28">
        <x:v>0.30661456082544802</x:v>
      </x:c>
      <x:c r="K24" s="35"/>
    </x:row>
    <x:row r="25" s="3" customFormat="1" ht="21" customHeight="1">
      <x:c r="A25" s="107"/>
      <x:c r="B25" s="48">
        <x:v>2014</x:v>
      </x:c>
      <x:c r="C25" s="37">
        <x:v>3.7385625823524049</x:v>
      </x:c>
      <x:c r="D25" s="37">
        <x:v>0.66774088630590933</x:v>
      </x:c>
      <x:c r="E25" s="37">
        <x:v>0.91264395048551716</x:v>
      </x:c>
      <x:c r="F25" s="24">
        <x:v>1.5803848367914264</x:v>
      </x:c>
      <x:c r="G25" s="24">
        <x:v>1.3927861301366009</x:v>
      </x:c>
      <x:c r="H25" s="24">
        <x:v>1.466167683380178</x:v>
      </x:c>
      <x:c r="I25" s="24">
        <x:v>4.4393386503082048</x:v>
      </x:c>
      <x:c r="J25" s="29">
        <x:v>-0.70062319124633676</x:v>
      </x:c>
      <x:c r="K25" s="35"/>
    </x:row>
    <x:row r="26" s="3" customFormat="1" ht="21" customHeight="1">
      <x:c r="A26" s="80"/>
      <x:c r="B26" s="47">
        <x:v>2015</x:v>
      </x:c>
      <x:c r="C26" s="36">
        <x:v>3.1787927582444011</x:v>
      </x:c>
      <x:c r="D26" s="36">
        <x:v>0.31459759254921216</x:v>
      </x:c>
      <x:c r="E26" s="36">
        <x:v>-6.5030501994304213E-2</x:v>
      </x:c>
      <x:c r="F26" s="23">
        <x:v>0.24956709055490794</x:v>
      </x:c>
      <x:c r="G26" s="23">
        <x:v>0.93017926119698768</x:v>
      </x:c>
      <x:c r="H26" s="23">
        <x:v>1.6126634126563011</x:v>
      </x:c>
      <x:c r="I26" s="23">
        <x:v>2.7924097644081969</x:v>
      </x:c>
      <x:c r="J26" s="28">
        <x:v>0.38627216104988671</x:v>
      </x:c>
      <x:c r="K26" s="35"/>
    </x:row>
    <x:row r="27" s="3" customFormat="1" ht="21" customHeight="1">
      <x:c r="A27" s="81"/>
      <x:c r="B27" s="48">
        <x:v>2016</x:v>
      </x:c>
      <x:c r="C27" s="37">
        <x:v>1.467999858889725</x:v>
      </x:c>
      <x:c r="D27" s="37">
        <x:v>0.38519720091519699</x:v>
      </x:c>
      <x:c r="E27" s="37">
        <x:v>0.52741648374437256</x:v>
      </x:c>
      <x:c r="F27" s="24">
        <x:v>0.9126136846595696</x:v>
      </x:c>
      <x:c r="G27" s="24">
        <x:v>0.79331383041372527</x:v>
      </x:c>
      <x:c r="H27" s="24">
        <x:v>0.34132256497170865</x:v>
      </x:c>
      <x:c r="I27" s="24">
        <x:v>2.0472500800450035</x:v>
      </x:c>
      <x:c r="J27" s="29">
        <x:v>-0.57924832908675672</x:v>
      </x:c>
      <x:c r="K27" s="35"/>
    </x:row>
    <x:row r="28" s="3" customFormat="1" ht="21" customHeight="1">
      <x:c r="A28" s="80"/>
      <x:c r="B28" s="47">
        <x:v>2017</x:v>
      </x:c>
      <x:c r="C28" s="36">
        <x:v>0.42004725773506618</x:v>
      </x:c>
      <x:c r="D28" s="36">
        <x:v>2.3164338794679992E-2</x:v>
      </x:c>
      <x:c r="E28" s="36">
        <x:v>-0.19683212247972198</x:v>
      </x:c>
      <x:c r="F28" s="23">
        <x:v>-0.17366778368504199</x:v>
      </x:c>
      <x:c r="G28" s="23">
        <x:v>0.74520011668879982</x:v>
      </x:c>
      <x:c r="H28" s="23">
        <x:v>-0.27043672660651852</x:v>
      </x:c>
      <x:c r="I28" s="23">
        <x:v>0.30109560639723931</x:v>
      </x:c>
      <x:c r="J28" s="28">
        <x:v>0.11890133628322901</x:v>
      </x:c>
      <x:c r="K28" s="35"/>
    </x:row>
    <x:row r="29" s="3" customFormat="1" ht="21" customHeight="1">
      <x:c r="A29" s="81"/>
      <x:c r="B29" s="48">
        <x:v>2018</x:v>
      </x:c>
      <x:c r="C29" s="37">
        <x:v>2.2434694420308801</x:v>
      </x:c>
      <x:c r="D29" s="37">
        <x:v>0.15249203030785563</x:v>
      </x:c>
      <x:c r="E29" s="37">
        <x:v>0.39475573241332212</x:v>
      </x:c>
      <x:c r="F29" s="24">
        <x:v>0.54724776272117781</x:v>
      </x:c>
      <x:c r="G29" s="24">
        <x:v>0.58587218767877758</x:v>
      </x:c>
      <x:c r="H29" s="24">
        <x:v>0.95519723436188286</x:v>
      </x:c>
      <x:c r="I29" s="24">
        <x:v>2.0883171847618383</x:v>
      </x:c>
      <x:c r="J29" s="29">
        <x:v>0.15516410994560861</x:v>
      </x:c>
      <x:c r="K29" s="35"/>
    </x:row>
    <x:row r="30" s="3" customFormat="1" ht="21" customHeight="1">
      <x:c r="A30" s="80"/>
      <x:c r="B30" s="47">
        <x:v>2019</x:v>
      </x:c>
      <x:c r="C30" s="36">
        <x:v>2.4982869345136098</x:v>
      </x:c>
      <x:c r="D30" s="36">
        <x:v>0.30724751894491054</x:v>
      </x:c>
      <x:c r="E30" s="36">
        <x:v>0.45193397890100701</x:v>
      </x:c>
      <x:c r="F30" s="23">
        <x:v>0.75918149784591749</x:v>
      </x:c>
      <x:c r="G30" s="23">
        <x:v>0.65894645170170918</x:v>
      </x:c>
      <x:c r="H30" s="23">
        <x:v>0.93558388167307172</x:v>
      </x:c>
      <x:c r="I30" s="23">
        <x:v>2.3537118312206982</x:v>
      </x:c>
      <x:c r="J30" s="28">
        <x:v>0.1445613406672486</x:v>
      </x:c>
      <x:c r="K30" s="35"/>
    </x:row>
    <x:row r="31" s="3" customFormat="1" ht="21" customHeight="1">
      <x:c r="A31" s="81"/>
      <x:c r="B31" s="48">
        <x:v>2020</x:v>
      </x:c>
      <x:c r="C31" s="37">
        <x:v>-8.5546525681636627</x:v>
      </x:c>
      <x:c r="D31" s="37">
        <x:v>-1.2996359016305323</x:v>
      </x:c>
      <x:c r="E31" s="37">
        <x:v>-2.0686675263289662</x:v>
      </x:c>
      <x:c r="F31" s="24">
        <x:v>-3.3683034279594986</x:v>
      </x:c>
      <x:c r="G31" s="24">
        <x:v>0.22350727693610789</x:v>
      </x:c>
      <x:c r="H31" s="24">
        <x:v>-4.6302555325371992</x:v>
      </x:c>
      <x:c r="I31" s="24">
        <x:v>-7.7750516835605907</x:v>
      </x:c>
      <x:c r="J31" s="29">
        <x:v>-0.77960088460316379</x:v>
      </x:c>
      <x:c r="K31" s="35"/>
    </x:row>
    <x:row r="32" s="3" customFormat="1" ht="21" customHeight="1">
      <x:c r="A32" s="80"/>
      <x:c r="B32" s="47">
        <x:v>2021</x:v>
      </x:c>
      <x:c r="C32" s="36">
        <x:v>10.574761980987761</x:v>
      </x:c>
      <x:c r="D32" s="36">
        <x:v>1.638333578385448</x:v>
      </x:c>
      <x:c r="E32" s="36">
        <x:v>2.1639782897625923</x:v>
      </x:c>
      <x:c r="F32" s="23">
        <x:v>3.8023118681480401</x:v>
      </x:c>
      <x:c r="G32" s="23">
        <x:v>0.49248162942912899</x:v>
      </x:c>
      <x:c r="H32" s="23">
        <x:v>5.6656558644987749</x:v>
      </x:c>
      <x:c r="I32" s="23">
        <x:v>9.9604493620759449</x:v>
      </x:c>
      <x:c r="J32" s="28">
        <x:v>0.61431261891179878</x:v>
      </x:c>
      <x:c r="K32" s="35"/>
    </x:row>
    <x:row r="33" s="3" customFormat="1" ht="21" customHeight="1">
      <x:c r="A33" s="81"/>
      <x:c r="B33" s="48">
        <x:v>2022</x:v>
      </x:c>
      <x:c r="C33" s="37">
        <x:v>8.0484156216812845</x:v>
      </x:c>
      <x:c r="D33" s="37">
        <x:v>1.0590541173845638</x:v>
      </x:c>
      <x:c r="E33" s="37">
        <x:v>1.1398517694993766</x:v>
      </x:c>
      <x:c r="F33" s="24">
        <x:v>2.1989058868839404</x:v>
      </x:c>
      <x:c r="G33" s="37">
        <x:v>0.77036899997585651</x:v>
      </x:c>
      <x:c r="H33" s="37">
        <x:v>5.034663064733973</x:v>
      </x:c>
      <x:c r="I33" s="37">
        <x:v>8.0039379515937732</x:v>
      </x:c>
      <x:c r="J33" s="29">
        <x:v>4.4477670087513632E-2</x:v>
      </x:c>
      <x:c r="K33" s="35"/>
    </x:row>
    <x:row r="34" s="3" customFormat="1" ht="21" customHeight="1">
      <x:c r="A34" s="80"/>
      <x:c r="B34" s="47">
        <x:v>2023</x:v>
      </x:c>
      <x:c r="C34" s="36">
        <x:v>0.69114399062504683</x:v>
      </x:c>
      <x:c r="D34" s="36">
        <x:v>0.32976191680270422</x:v>
      </x:c>
      <x:c r="E34" s="36">
        <x:v>0.40117792735423047</x:v>
      </x:c>
      <x:c r="F34" s="23">
        <x:v>0.73093984415693469</x:v>
      </x:c>
      <x:c r="G34" s="36">
        <x:v>0.32021295597790878</x:v>
      </x:c>
      <x:c r="H34" s="36">
        <x:v>0.14573225021734754</x:v>
      </x:c>
      <x:c r="I34" s="36">
        <x:v>1.1968850503521804</x:v>
      </x:c>
      <x:c r="J34" s="28">
        <x:v>-0.50574105972713357</x:v>
      </x:c>
      <x:c r="K34" s="35"/>
    </x:row>
    <x:row r="35">
      <x:c r="A35" s="57"/>
      <x:c r="B35" s="94" t="s">
        <x:v>67</x:v>
      </x:c>
      <x:c r="C35" s="95">
        <x:v>0.84448735963314636</x:v>
      </x:c>
      <x:c r="D35" s="95">
        <x:v>-7.3319518354455562E-2</x:v>
      </x:c>
      <x:c r="E35" s="95">
        <x:v>-4.0941987680355445E-2</x:v>
      </x:c>
      <x:c r="F35" s="96">
        <x:v>-0.114261506034811</x:v>
      </x:c>
      <x:c r="G35" s="95">
        <x:v>0.32934281779567448</x:v>
      </x:c>
      <x:c r="H35" s="95">
        <x:v>6.32240580051735E-3</x:v>
      </x:c>
      <x:c r="I35" s="95">
        <x:v>0.22140371756140542</x:v>
      </x:c>
      <x:c r="J35" s="97">
        <x:v>0.62308364207174083</x:v>
      </x:c>
    </x:row>
    <x:row r="36" s="3" customFormat="1" ht="23.450000762939453" customHeight="1">
      <x:c r="A36" s="149" t="s">
        <x:v>69</x:v>
      </x:c>
      <x:c r="B36" s="144"/>
      <x:c r="C36" s="144"/>
      <x:c r="D36" s="144"/>
      <x:c r="E36" s="144"/>
      <x:c r="F36" s="145"/>
      <x:c r="G36" s="145"/>
      <x:c r="H36" s="145"/>
      <x:c r="I36" s="146"/>
      <x:c r="J36" s="150"/>
      <x:c r="K36" s="2"/>
    </x:row>
    <x:row r="37" s="3" customFormat="1" ht="14.25">
      <x:c r="A37" s="77" t="s">
        <x:v>70</x:v>
      </x:c>
      <x:c r="B37" s="14"/>
      <x:c r="C37" s="14"/>
      <x:c r="D37" s="14"/>
      <x:c r="E37" s="14"/>
      <x:c r="F37" s="15"/>
      <x:c r="G37" s="15"/>
      <x:c r="H37" s="15"/>
      <x:c r="I37" s="16"/>
      <x:c r="J37" s="17"/>
      <x:c r="K37" s="2"/>
    </x:row>
    <x:row r="38" s="3" customFormat="1" ht="14.25">
      <x:c r="A38" s="151" t="s">
        <x:v>101</x:v>
      </x:c>
      <x:c r="B38" s="14"/>
      <x:c r="C38" s="14"/>
      <x:c r="D38" s="14"/>
      <x:c r="E38" s="14"/>
      <x:c r="F38" s="15"/>
      <x:c r="G38" s="15"/>
      <x:c r="H38" s="15"/>
      <x:c r="I38" s="16"/>
      <x:c r="J38" s="17"/>
      <x:c r="K38" s="2"/>
    </x:row>
    <x:row r="39" s="3" customFormat="1" ht="14.25">
      <x:c r="A39" s="136" t="s">
        <x:v>71</x:v>
      </x:c>
      <x:c r="B39" s="14"/>
      <x:c r="C39" s="14"/>
      <x:c r="D39" s="14"/>
      <x:c r="E39" s="14"/>
      <x:c r="F39" s="15"/>
      <x:c r="G39" s="15"/>
      <x:c r="H39" s="15"/>
      <x:c r="I39" s="16"/>
      <x:c r="J39" s="17"/>
      <x:c r="K39" s="2"/>
    </x:row>
    <x:row r="40" s="3" customFormat="1" ht="12">
      <x:c r="A40" s="79" t="s">
        <x:v>72</x:v>
      </x:c>
      <x:c r="B40" s="72"/>
      <x:c r="C40" s="72"/>
      <x:c r="D40" s="72"/>
      <x:c r="E40" s="72"/>
      <x:c r="F40" s="31"/>
      <x:c r="G40" s="31"/>
      <x:c r="H40" s="31"/>
      <x:c r="I40" s="31"/>
      <x:c r="J40" s="33"/>
      <x:c r="K40" s="2"/>
    </x:row>
    <x:row r="41">
      <x:c r="F41" s="12"/>
      <x:c r="G41" s="12"/>
      <x:c r="H41" s="12"/>
      <x:c r="I41" s="12"/>
      <x:c r="J41" s="12"/>
    </x:row>
  </x:sheetData>
  <x:mergeCells>
    <x:mergeCell ref="A7:J7"/>
    <x:mergeCell ref="A13:A15"/>
    <x:mergeCell ref="B13:B15"/>
    <x:mergeCell ref="C14:C15"/>
    <x:mergeCell ref="D13:F13"/>
    <x:mergeCell ref="D14:F14"/>
    <x:mergeCell ref="G14:J15"/>
  </x:mergeCells>
  <x:hyperlinks>
    <x:hyperlink ref="K5" location="Índice!A1"/>
  </x:hyperlinks>
  <x:pageMargins left="0.7" right="0.7" top="0.75" bottom="0.75" header="0.3" footer="0.3"/>
  <x:drawing xmlns:r="http://schemas.openxmlformats.org/officeDocument/2006/relationships" r:id="R5e017e473d814a45"/>
</x:worksheet>
</file>

<file path=xl/worksheets/sheet5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0.710937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26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26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2005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56"/>
      <x:c r="B16" s="99" t="s">
        <x:v>81</x:v>
      </x:c>
      <x:c r="C16" s="92">
        <x:v>2.5032606880081691</x:v>
      </x:c>
      <x:c r="D16" s="92">
        <x:v>0.64946499893029563</x:v>
      </x:c>
      <x:c r="E16" s="92">
        <x:v>2.8946327874824802</x:v>
      </x:c>
      <x:c r="F16" s="92">
        <x:v>3.5440977864127756</x:v>
      </x:c>
      <x:c r="G16" s="92">
        <x:v>-1.5409678007476099E-2</x:v>
      </x:c>
      <x:c r="H16" s="92">
        <x:v>0.73666659909017018</x:v>
      </x:c>
      <x:c r="I16" s="92">
        <x:v>0.72125692108269412</x:v>
      </x:c>
      <x:c r="J16" s="92">
        <x:v>-0.25295064583992488</x:v>
      </x:c>
      <x:c r="K16" s="92">
        <x:v>3.9311532239193898</x:v>
      </x:c>
      <x:c r="L16" s="92">
        <x:v>-0.83100411675072106</x:v>
      </x:c>
      <x:c r="M16" s="92">
        <x:v>2.8471984613287438</x:v>
      </x:c>
      <x:c r="N16" s="92">
        <x:v>7.1125531688242134</x:v>
      </x:c>
      <x:c r="O16" s="154">
        <x:v>-4.6092924808160456</x:v>
      </x:c>
      <x:c r="P16" s="42"/>
    </x:row>
    <x:row r="17" s="3" customFormat="1" ht="27" customHeight="1">
      <x:c r="A17" s="55"/>
      <x:c r="B17" s="100" t="s">
        <x:v>82</x:v>
      </x:c>
      <x:c r="C17" s="93">
        <x:v>3.6645981983131288</x:v>
      </x:c>
      <x:c r="D17" s="93">
        <x:v>1.346939783990083</x:v>
      </x:c>
      <x:c r="E17" s="93">
        <x:v>-2.2546255011115699</x:v>
      </x:c>
      <x:c r="F17" s="93">
        <x:v>-0.90768571712148693</x:v>
      </x:c>
      <x:c r="G17" s="93">
        <x:v>-6.9059886293491565E-2</x:v>
      </x:c>
      <x:c r="H17" s="93">
        <x:v>2.3259698009312482</x:v>
      </x:c>
      <x:c r="I17" s="93">
        <x:v>2.2569099146377565</x:v>
      </x:c>
      <x:c r="J17" s="93">
        <x:v>-0.91681171569615783</x:v>
      </x:c>
      <x:c r="K17" s="93">
        <x:v>0.17172599141052489</x:v>
      </x:c>
      <x:c r="L17" s="93">
        <x:v>-1.524035425109195</x:v>
      </x:c>
      <x:c r="M17" s="93">
        <x:v>-2.2691211493948278</x:v>
      </x:c>
      <x:c r="N17" s="93">
        <x:v>-0.91989695187855824</x:v>
      </x:c>
      <x:c r="O17" s="101">
        <x:v>4.584495150191688</x:v>
      </x:c>
      <x:c r="P17" s="42"/>
    </x:row>
    <x:row r="18" s="3" customFormat="1" ht="27" customHeight="1">
      <x:c r="A18" s="56"/>
      <x:c r="B18" s="99" t="s">
        <x:v>83</x:v>
      </x:c>
      <x:c r="C18" s="92">
        <x:v>4.1236216769966916</x:v>
      </x:c>
      <x:c r="D18" s="92">
        <x:v>-5.4166214831320149E-2</x:v>
      </x:c>
      <x:c r="E18" s="92">
        <x:v>0.61782668181141298</x:v>
      </x:c>
      <x:c r="F18" s="92">
        <x:v>0.56366046698009287</x:v>
      </x:c>
      <x:c r="G18" s="92">
        <x:v>-3.6840335997213813E-2</x:v>
      </x:c>
      <x:c r="H18" s="92">
        <x:v>0.12815469418606409</x:v>
      </x:c>
      <x:c r="I18" s="92">
        <x:v>9.1314358188850281E-2</x:v>
      </x:c>
      <x:c r="J18" s="92">
        <x:v>-1.2976452984003359</x:v>
      </x:c>
      <x:c r="K18" s="92">
        <x:v>4.4022107213485127</x:v>
      </x:c>
      <x:c r="L18" s="92">
        <x:v>-1.0836056615955261</x:v>
      </x:c>
      <x:c r="M18" s="92">
        <x:v>2.0209597613526507</x:v>
      </x:c>
      <x:c r="N18" s="92">
        <x:v>2.6759345865215938</x:v>
      </x:c>
      <x:c r="O18" s="102">
        <x:v>1.447687090475098</x:v>
      </x:c>
      <x:c r="P18" s="42"/>
    </x:row>
    <x:row r="19" s="3" customFormat="1" ht="27" customHeight="1">
      <x:c r="A19" s="55"/>
      <x:c r="B19" s="100" t="s">
        <x:v>84</x:v>
      </x:c>
      <x:c r="C19" s="93">
        <x:v>2.459442228354014</x:v>
      </x:c>
      <x:c r="D19" s="93">
        <x:v>1.117490069666812</x:v>
      </x:c>
      <x:c r="E19" s="93">
        <x:v>0.93762388057650636</x:v>
      </x:c>
      <x:c r="F19" s="93">
        <x:v>2.0551139502433182</x:v>
      </x:c>
      <x:c r="G19" s="93">
        <x:v>-3.3322271844947869E-2</x:v>
      </x:c>
      <x:c r="H19" s="93">
        <x:v>0.74473175792857638</x:v>
      </x:c>
      <x:c r="I19" s="93">
        <x:v>0.71140948608362853</x:v>
      </x:c>
      <x:c r="J19" s="93">
        <x:v>-3.1189900267887278</x:v>
      </x:c>
      <x:c r="K19" s="93">
        <x:v>0.83057719949574715</x:v>
      </x:c>
      <x:c r="L19" s="93">
        <x:v>1.6382142166554761</x:v>
      </x:c>
      <x:c r="M19" s="93">
        <x:v>-0.65019861063750484</x:v>
      </x:c>
      <x:c r="N19" s="93">
        <x:v>2.1163248256894418</x:v>
      </x:c>
      <x:c r="O19" s="101">
        <x:v>0.3431174026645718</x:v>
      </x:c>
      <x:c r="P19" s="42"/>
    </x:row>
    <x:row r="20" s="3" customFormat="1" ht="27" customHeight="1">
      <x:c r="A20" s="56"/>
      <x:c r="B20" s="99" t="s">
        <x:v>85</x:v>
      </x:c>
      <x:c r="C20" s="92">
        <x:v>8.4194444035301963</x:v>
      </x:c>
      <x:c r="D20" s="92">
        <x:v>-0.51113340410308983</x:v>
      </x:c>
      <x:c r="E20" s="92">
        <x:v>1.7969487692067529</x:v>
      </x:c>
      <x:c r="F20" s="92">
        <x:v>1.2858153651036632</x:v>
      </x:c>
      <x:c r="G20" s="92">
        <x:v>-2.081398271732212E-2</x:v>
      </x:c>
      <x:c r="H20" s="92">
        <x:v>7.3031117696949088E-2</x:v>
      </x:c>
      <x:c r="I20" s="92">
        <x:v>5.2217134979626968E-2</x:v>
      </x:c>
      <x:c r="J20" s="92">
        <x:v>-0.29253662698890492</x:v>
      </x:c>
      <x:c r="K20" s="92">
        <x:v>3.250591593523791</x:v>
      </x:c>
      <x:c r="L20" s="92">
        <x:v>-2.224484601090003</x:v>
      </x:c>
      <x:c r="M20" s="92">
        <x:v>0.73357036544488308</x:v>
      </x:c>
      <x:c r="N20" s="92">
        <x:v>2.0716028655281731</x:v>
      </x:c>
      <x:c r="O20" s="102">
        <x:v>6.3478415380020232</x:v>
      </x:c>
      <x:c r="P20" s="42"/>
    </x:row>
    <x:row r="21" s="3" customFormat="1" ht="27" customHeight="1">
      <x:c r="A21" s="55"/>
      <x:c r="B21" s="100" t="s">
        <x:v>86</x:v>
      </x:c>
      <x:c r="C21" s="93">
        <x:v>5.2504682112899381</x:v>
      </x:c>
      <x:c r="D21" s="93">
        <x:v>0.13649480520375759</x:v>
      </x:c>
      <x:c r="E21" s="93">
        <x:v>1.0390082276822059</x:v>
      </x:c>
      <x:c r="F21" s="93">
        <x:v>1.1755030328859635</x:v>
      </x:c>
      <x:c r="G21" s="93">
        <x:v>-2.8263381818382752E-3</x:v>
      </x:c>
      <x:c r="H21" s="93">
        <x:v>3.7005002653869003E-2</x:v>
      </x:c>
      <x:c r="I21" s="93">
        <x:v>3.4178664472030724E-2</x:v>
      </x:c>
      <x:c r="J21" s="93">
        <x:v>-7.3130880933995626E-2</x:v>
      </x:c>
      <x:c r="K21" s="93">
        <x:v>3.61121579724708</x:v>
      </x:c>
      <x:c r="L21" s="93">
        <x:v>-0.82567475681998681</x:v>
      </x:c>
      <x:c r="M21" s="93">
        <x:v>2.7124101594930976</x:v>
      </x:c>
      <x:c r="N21" s="93">
        <x:v>3.9220918568510914</x:v>
      </x:c>
      <x:c r="O21" s="101">
        <x:v>1.3283763544388461</x:v>
      </x:c>
      <x:c r="P21" s="42"/>
    </x:row>
    <x:row r="22" s="3" customFormat="1" ht="27" customHeight="1">
      <x:c r="A22" s="56"/>
      <x:c r="B22" s="99" t="s">
        <x:v>87</x:v>
      </x:c>
      <x:c r="C22" s="92">
        <x:v>8.709013223948503</x:v>
      </x:c>
      <x:c r="D22" s="92">
        <x:v>0.63508293026948193</x:v>
      </x:c>
      <x:c r="E22" s="92">
        <x:v>2.9208445185417262</x:v>
      </x:c>
      <x:c r="F22" s="92">
        <x:v>3.5559274488112083</x:v>
      </x:c>
      <x:c r="G22" s="92">
        <x:v>-0.1943315709859601</x:v>
      </x:c>
      <x:c r="H22" s="92">
        <x:v>1.308704949433122</x:v>
      </x:c>
      <x:c r="I22" s="92">
        <x:v>1.1143733784471619</x:v>
      </x:c>
      <x:c r="J22" s="92">
        <x:v>-0.56787958336213507</x:v>
      </x:c>
      <x:c r="K22" s="92">
        <x:v>1.388090580170803</x:v>
      </x:c>
      <x:c r="L22" s="92">
        <x:v>1.174087405041498</x:v>
      </x:c>
      <x:c r="M22" s="92">
        <x:v>1.9942984018501659</x:v>
      </x:c>
      <x:c r="N22" s="92">
        <x:v>6.6645992291085356</x:v>
      </x:c>
      <x:c r="O22" s="102">
        <x:v>2.0444139948399669</x:v>
      </x:c>
      <x:c r="P22" s="42"/>
    </x:row>
    <x:row r="23" s="3" customFormat="1" ht="27" customHeight="1">
      <x:c r="A23" s="55"/>
      <x:c r="B23" s="100" t="s">
        <x:v>88</x:v>
      </x:c>
      <x:c r="C23" s="93">
        <x:v>4.9253328010380848</x:v>
      </x:c>
      <x:c r="D23" s="93">
        <x:v>-0.25057021166690863</x:v>
      </x:c>
      <x:c r="E23" s="93">
        <x:v>2.356742243851615</x:v>
      </x:c>
      <x:c r="F23" s="93">
        <x:v>2.1061720321847064</x:v>
      </x:c>
      <x:c r="G23" s="93">
        <x:v>-7.1057744781639495E-2</x:v>
      </x:c>
      <x:c r="H23" s="93">
        <x:v>3.0162556822467139</x:v>
      </x:c>
      <x:c r="I23" s="93">
        <x:v>2.9451979374650743</x:v>
      </x:c>
      <x:c r="J23" s="93">
        <x:v>1.4495603645603551E-2</x:v>
      </x:c>
      <x:c r="K23" s="93">
        <x:v>7.7100955427721024E-2</x:v>
      </x:c>
      <x:c r="L23" s="93">
        <x:v>3.2408925298086322</x:v>
      </x:c>
      <x:c r="M23" s="93">
        <x:v>3.3324890888819567</x:v>
      </x:c>
      <x:c r="N23" s="93">
        <x:v>8.383859058531737</x:v>
      </x:c>
      <x:c r="O23" s="101">
        <x:v>-3.4585262574936522</x:v>
      </x:c>
      <x:c r="P23" s="42"/>
    </x:row>
    <x:row r="24" s="3" customFormat="1" ht="27" customHeight="1">
      <x:c r="A24" s="56"/>
      <x:c r="B24" s="99" t="s">
        <x:v>89</x:v>
      </x:c>
      <x:c r="C24" s="92">
        <x:v>6.4787757981519256</x:v>
      </x:c>
      <x:c r="D24" s="92">
        <x:v>1.663841891647351</x:v>
      </x:c>
      <x:c r="E24" s="92">
        <x:v>1.984843815536439</x:v>
      </x:c>
      <x:c r="F24" s="92">
        <x:v>3.6486857071837902</x:v>
      </x:c>
      <x:c r="G24" s="92">
        <x:v>-3.4087857092273292E-2</x:v>
      </x:c>
      <x:c r="H24" s="92">
        <x:v>0.17422678149990051</x:v>
      </x:c>
      <x:c r="I24" s="92">
        <x:v>0.14013892440762721</x:v>
      </x:c>
      <x:c r="J24" s="92">
        <x:v>5.8710394392265101E-2</x:v>
      </x:c>
      <x:c r="K24" s="92">
        <x:v>1.543434518224639</x:v>
      </x:c>
      <x:c r="L24" s="92">
        <x:v>4.7696649229878147</x:v>
      </x:c>
      <x:c r="M24" s="92">
        <x:v>6.3718098356047186</x:v>
      </x:c>
      <x:c r="N24" s="92">
        <x:v>10.160634467196136</x:v>
      </x:c>
      <x:c r="O24" s="102">
        <x:v>-3.6818586690442099</x:v>
      </x:c>
      <x:c r="P24" s="42"/>
    </x:row>
    <x:row r="25" s="3" customFormat="1" ht="27" customHeight="1">
      <x:c r="A25" s="25"/>
      <x:c r="B25" s="103" t="s">
        <x:v>90</x:v>
      </x:c>
      <x:c r="C25" s="104">
        <x:v>5.2667104630482413</x:v>
      </x:c>
      <x:c r="D25" s="104">
        <x:v>0.39469676313144858</x:v>
      </x:c>
      <x:c r="E25" s="104">
        <x:v>1.4327859981952351</x:v>
      </x:c>
      <x:c r="F25" s="104">
        <x:v>1.8274827613266837</x:v>
      </x:c>
      <x:c r="G25" s="104">
        <x:v>-4.9632443460882962E-2</x:v>
      </x:c>
      <x:c r="H25" s="104">
        <x:v>0.80137422920019563</x:v>
      </x:c>
      <x:c r="I25" s="104">
        <x:v>0.75174178573931272</x:v>
      </x:c>
      <x:c r="J25" s="105">
        <x:v>-0.5833046023300249</x:v>
      </x:c>
      <x:c r="K25" s="105">
        <x:v>2.540919681285875</x:v>
      </x:c>
      <x:c r="L25" s="105">
        <x:v>0.65665948676693553</x:v>
      </x:c>
      <x:c r="M25" s="105">
        <x:v>2.6142745657227855</x:v>
      </x:c>
      <x:c r="N25" s="105">
        <x:v>5.193499112788782</x:v>
      </x:c>
      <x:c r="O25" s="106">
        <x:v>7.3211350259458574E-2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13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C14:C15"/>
    <x:mergeCell ref="D14:F14"/>
    <x:mergeCell ref="G14:I14"/>
    <x:mergeCell ref="J14:M14"/>
    <x:mergeCell ref="N14:N15"/>
    <x:mergeCell ref="O14:O15"/>
    <x:mergeCell ref="A7:O7"/>
    <x:mergeCell ref="Q12:R12"/>
    <x:mergeCell ref="A13:A15"/>
    <x:mergeCell ref="B13:B15"/>
    <x:mergeCell ref="D13:F13"/>
    <x:mergeCell ref="G13:I13"/>
    <x:mergeCell ref="J13:M13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de439f33bdb34bc7"/>
</x:worksheet>
</file>

<file path=xl/worksheets/sheet6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2006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56"/>
      <x:c r="B16" s="22" t="s">
        <x:v>81</x:v>
      </x:c>
      <x:c r="C16" s="92">
        <x:v>2.2119370609170019</x:v>
      </x:c>
      <x:c r="D16" s="92">
        <x:v>7.0019642740600546E-2</x:v>
      </x:c>
      <x:c r="E16" s="92">
        <x:v>-2.2209976337693509</x:v>
      </x:c>
      <x:c r="F16" s="92">
        <x:v>-2.1509779910287503</x:v>
      </x:c>
      <x:c r="G16" s="92">
        <x:v>-1.663144248665242E-2</x:v>
      </x:c>
      <x:c r="H16" s="92">
        <x:v>0.79033599957060541</x:v>
      </x:c>
      <x:c r="I16" s="92">
        <x:v>0.77370455708395303</x:v>
      </x:c>
      <x:c r="J16" s="92">
        <x:v>-7.4173520243188171E-2</x:v>
      </x:c>
      <x:c r="K16" s="92">
        <x:v>0.84365848393613518</x:v>
      </x:c>
      <x:c r="L16" s="92">
        <x:v>8.7827906235966258E-2</x:v>
      </x:c>
      <x:c r="M16" s="92">
        <x:v>0.85731286992891331</x:v>
      </x:c>
      <x:c r="N16" s="92">
        <x:v>-0.51996056401588397</x:v>
      </x:c>
      <x:c r="O16" s="154">
        <x:v>2.7318976249328859</x:v>
      </x:c>
      <x:c r="P16" s="42"/>
    </x:row>
    <x:row r="17" s="3" customFormat="1" ht="27" customHeight="1">
      <x:c r="A17" s="55"/>
      <x:c r="B17" s="7" t="s">
        <x:v>82</x:v>
      </x:c>
      <x:c r="C17" s="93">
        <x:v>1.9416225473323221</x:v>
      </x:c>
      <x:c r="D17" s="93">
        <x:v>-0.70220342490077436</x:v>
      </x:c>
      <x:c r="E17" s="93">
        <x:v>2.0405754867383901</x:v>
      </x:c>
      <x:c r="F17" s="93">
        <x:v>1.3383720618376156</x:v>
      </x:c>
      <x:c r="G17" s="93">
        <x:v>-0.15916808484154249</x:v>
      </x:c>
      <x:c r="H17" s="93">
        <x:v>3.5863135785330029</x:v>
      </x:c>
      <x:c r="I17" s="93">
        <x:v>3.4271454936914605</x:v>
      </x:c>
      <x:c r="J17" s="93">
        <x:v>0.37465003551422199</x:v>
      </x:c>
      <x:c r="K17" s="93">
        <x:v>-1.4796410708767331E-2</x:v>
      </x:c>
      <x:c r="L17" s="93">
        <x:v>-5.104776315045715E-2</x:v>
      </x:c>
      <x:c r="M17" s="93">
        <x:v>0.30880586165499752</x:v>
      </x:c>
      <x:c r="N17" s="93">
        <x:v>5.0743234171840736</x:v>
      </x:c>
      <x:c r="O17" s="101">
        <x:v>-3.1327008698517509</x:v>
      </x:c>
      <x:c r="P17" s="42"/>
    </x:row>
    <x:row r="18" s="3" customFormat="1" ht="27" customHeight="1">
      <x:c r="A18" s="56"/>
      <x:c r="B18" s="22" t="s">
        <x:v>83</x:v>
      </x:c>
      <x:c r="C18" s="92">
        <x:v>6.4858646909164541</x:v>
      </x:c>
      <x:c r="D18" s="92">
        <x:v>-2.7141496338423929E-2</x:v>
      </x:c>
      <x:c r="E18" s="92">
        <x:v>-0.81481341470501467</x:v>
      </x:c>
      <x:c r="F18" s="92">
        <x:v>-0.84195491104343856</x:v>
      </x:c>
      <x:c r="G18" s="92">
        <x:v>-1.7752039862144121E-2</x:v>
      </x:c>
      <x:c r="H18" s="92">
        <x:v>0.59022442116514873</x:v>
      </x:c>
      <x:c r="I18" s="92">
        <x:v>0.5724723813030046</x:v>
      </x:c>
      <x:c r="J18" s="92">
        <x:v>0.66047614928189591</x:v>
      </x:c>
      <x:c r="K18" s="92">
        <x:v>3.340757361850859</x:v>
      </x:c>
      <x:c r="L18" s="92">
        <x:v>0.2007583577545313</x:v>
      </x:c>
      <x:c r="M18" s="92">
        <x:v>4.2019918688872862</x:v>
      </x:c>
      <x:c r="N18" s="92">
        <x:v>3.9325093391468524</x:v>
      </x:c>
      <x:c r="O18" s="102">
        <x:v>2.5533553517696022</x:v>
      </x:c>
      <x:c r="P18" s="42"/>
    </x:row>
    <x:row r="19" s="3" customFormat="1" ht="27" customHeight="1">
      <x:c r="A19" s="55"/>
      <x:c r="B19" s="7" t="s">
        <x:v>84</x:v>
      </x:c>
      <x:c r="C19" s="93">
        <x:v>3.8207471428607138</x:v>
      </x:c>
      <x:c r="D19" s="93">
        <x:v>-0.1798332177495445</x:v>
      </x:c>
      <x:c r="E19" s="93">
        <x:v>-0.50444913018693605</x:v>
      </x:c>
      <x:c r="F19" s="93">
        <x:v>-0.68428234793648057</x:v>
      </x:c>
      <x:c r="G19" s="93">
        <x:v>-3.4586692333866208E-2</x:v>
      </x:c>
      <x:c r="H19" s="93">
        <x:v>1.235178170715197</x:v>
      </x:c>
      <x:c r="I19" s="93">
        <x:v>1.2005914783813307</x:v>
      </x:c>
      <x:c r="J19" s="93">
        <x:v>2.064961548226143</x:v>
      </x:c>
      <x:c r="K19" s="93">
        <x:v>-7.2079974943130468E-2</x:v>
      </x:c>
      <x:c r="L19" s="93">
        <x:v>1.29313876288937E-2</x:v>
      </x:c>
      <x:c r="M19" s="93">
        <x:v>2.0058129609119062</x:v>
      </x:c>
      <x:c r="N19" s="93">
        <x:v>2.5221220913567564</x:v>
      </x:c>
      <x:c r="O19" s="101">
        <x:v>1.2986250515039579</x:v>
      </x:c>
      <x:c r="P19" s="42"/>
    </x:row>
    <x:row r="20" s="3" customFormat="1" ht="27" customHeight="1">
      <x:c r="A20" s="56"/>
      <x:c r="B20" s="22" t="s">
        <x:v>85</x:v>
      </x:c>
      <x:c r="C20" s="92">
        <x:v>11.774045196227251</x:v>
      </x:c>
      <x:c r="D20" s="92">
        <x:v>0.33312803655503098</x:v>
      </x:c>
      <x:c r="E20" s="92">
        <x:v>0.60479194205781961</x:v>
      </x:c>
      <x:c r="F20" s="92">
        <x:v>0.93791997861285059</x:v>
      </x:c>
      <x:c r="G20" s="92">
        <x:v>-2.571513119694185E-2</x:v>
      </x:c>
      <x:c r="H20" s="92">
        <x:v>0.61750222327023419</x:v>
      </x:c>
      <x:c r="I20" s="92">
        <x:v>0.59178709207329239</x:v>
      </x:c>
      <x:c r="J20" s="92">
        <x:v>0.13662576639526289</x:v>
      </x:c>
      <x:c r="K20" s="92">
        <x:v>5.9974790950323396</x:v>
      </x:c>
      <x:c r="L20" s="92">
        <x:v>1.907744072133098</x:v>
      </x:c>
      <x:c r="M20" s="92">
        <x:v>8.0418489335607006</x:v>
      </x:c>
      <x:c r="N20" s="92">
        <x:v>9.5715560042468439</x:v>
      </x:c>
      <x:c r="O20" s="102">
        <x:v>2.2024891919804008</x:v>
      </x:c>
      <x:c r="P20" s="42"/>
    </x:row>
    <x:row r="21" s="3" customFormat="1" ht="27" customHeight="1">
      <x:c r="A21" s="55"/>
      <x:c r="B21" s="7" t="s">
        <x:v>86</x:v>
      </x:c>
      <x:c r="C21" s="93">
        <x:v>7.9850041921172732</x:v>
      </x:c>
      <x:c r="D21" s="93">
        <x:v>0.23113648637330181</x:v>
      </x:c>
      <x:c r="E21" s="93">
        <x:v>-0.68204872267360395</x:v>
      </x:c>
      <x:c r="F21" s="93">
        <x:v>-0.45091223630030214</x:v>
      </x:c>
      <x:c r="G21" s="93">
        <x:v>1.0102008475177509E-2</x:v>
      </x:c>
      <x:c r="H21" s="93">
        <x:v>0.17090762258342951</x:v>
      </x:c>
      <x:c r="I21" s="93">
        <x:v>0.18100963105860701</x:v>
      </x:c>
      <x:c r="J21" s="93">
        <x:v>0.10619921124960011</x:v>
      </x:c>
      <x:c r="K21" s="93">
        <x:v>1.0580065902202971</x:v>
      </x:c>
      <x:c r="L21" s="93">
        <x:v>2.6973220338536059</x:v>
      </x:c>
      <x:c r="M21" s="93">
        <x:v>3.8615278353235034</x:v>
      </x:c>
      <x:c r="N21" s="93">
        <x:v>3.5916252300818079</x:v>
      </x:c>
      <x:c r="O21" s="101">
        <x:v>4.3933789620354649</x:v>
      </x:c>
      <x:c r="P21" s="42"/>
    </x:row>
    <x:row r="22" s="3" customFormat="1" ht="27" customHeight="1">
      <x:c r="A22" s="56"/>
      <x:c r="B22" s="22" t="s">
        <x:v>87</x:v>
      </x:c>
      <x:c r="C22" s="92">
        <x:v>10.76235930039617</x:v>
      </x:c>
      <x:c r="D22" s="92">
        <x:v>0.28030029969844578</x:v>
      </x:c>
      <x:c r="E22" s="92">
        <x:v>1.786508345728584</x:v>
      </x:c>
      <x:c r="F22" s="92">
        <x:v>2.0668086454270296</x:v>
      </x:c>
      <x:c r="G22" s="92">
        <x:v>0.15526858648397041</x:v>
      </x:c>
      <x:c r="H22" s="92">
        <x:v>2.4639888379570172</x:v>
      </x:c>
      <x:c r="I22" s="92">
        <x:v>2.6192574244409874</x:v>
      </x:c>
      <x:c r="J22" s="92">
        <x:v>1.1055287019704829</x:v>
      </x:c>
      <x:c r="K22" s="92">
        <x:v>0.1984208745810534</x:v>
      </x:c>
      <x:c r="L22" s="92">
        <x:v>3.9283102557292442</x:v>
      </x:c>
      <x:c r="M22" s="92">
        <x:v>5.2322598322807803</x:v>
      </x:c>
      <x:c r="N22" s="92">
        <x:v>9.9183259021487977</x:v>
      </x:c>
      <x:c r="O22" s="102">
        <x:v>0.844033398247376</x:v>
      </x:c>
      <x:c r="P22" s="42"/>
    </x:row>
    <x:row r="23" s="3" customFormat="1" ht="27" customHeight="1">
      <x:c r="A23" s="55"/>
      <x:c r="B23" s="7" t="s">
        <x:v>88</x:v>
      </x:c>
      <x:c r="C23" s="93">
        <x:v>6.2063426749985773</x:v>
      </x:c>
      <x:c r="D23" s="93">
        <x:v>-0.75886975903191367</x:v>
      </x:c>
      <x:c r="E23" s="93">
        <x:v>0.37552408718514652</x:v>
      </x:c>
      <x:c r="F23" s="93">
        <x:v>-0.38334567184676716</x:v>
      </x:c>
      <x:c r="G23" s="93">
        <x:v>-0.15524670115084149</x:v>
      </x:c>
      <x:c r="H23" s="93">
        <x:v>3.132593202300189</x:v>
      </x:c>
      <x:c r="I23" s="93">
        <x:v>2.9773465011493476</x:v>
      </x:c>
      <x:c r="J23" s="93">
        <x:v>-1.2612391770337621E-2</x:v>
      </x:c>
      <x:c r="K23" s="93">
        <x:v>0.17733265086866021</x:v>
      </x:c>
      <x:c r="L23" s="93">
        <x:v>2.0177411700254879</x:v>
      </x:c>
      <x:c r="M23" s="93">
        <x:v>2.1824614291238107</x:v>
      </x:c>
      <x:c r="N23" s="93">
        <x:v>4.7764622584263918</x:v>
      </x:c>
      <x:c r="O23" s="101">
        <x:v>1.4298804165721859</x:v>
      </x:c>
      <x:c r="P23" s="42"/>
    </x:row>
    <x:row r="24" s="3" customFormat="1" ht="27" customHeight="1">
      <x:c r="A24" s="56"/>
      <x:c r="B24" s="22" t="s">
        <x:v>89</x:v>
      </x:c>
      <x:c r="C24" s="92">
        <x:v>4.6499529376050397</x:v>
      </x:c>
      <x:c r="D24" s="92">
        <x:v>1.4481700737663259</x:v>
      </x:c>
      <x:c r="E24" s="92">
        <x:v>-1.9531158080023541</x:v>
      </x:c>
      <x:c r="F24" s="92">
        <x:v>-0.50494573423602818</x:v>
      </x:c>
      <x:c r="G24" s="92">
        <x:v>-3.009218978675E-2</x:v>
      </x:c>
      <x:c r="H24" s="92">
        <x:v>0.23519309955105189</x:v>
      </x:c>
      <x:c r="I24" s="92">
        <x:v>0.2051009097643019</x:v>
      </x:c>
      <x:c r="J24" s="92">
        <x:v>6.6698064148139084E-3</x:v>
      </x:c>
      <x:c r="K24" s="92">
        <x:v>0.17764633142510949</x:v>
      </x:c>
      <x:c r="L24" s="92">
        <x:v>1.635318952203533</x:v>
      </x:c>
      <x:c r="M24" s="92">
        <x:v>1.8196350900434564</x:v>
      </x:c>
      <x:c r="N24" s="92">
        <x:v>1.5197902655717299</x:v>
      </x:c>
      <x:c r="O24" s="102">
        <x:v>3.1301626720333089</x:v>
      </x:c>
      <x:c r="P24" s="42"/>
    </x:row>
    <x:row r="25" s="3" customFormat="1" ht="27" customHeight="1">
      <x:c r="A25" s="25"/>
      <x:c r="B25" s="58" t="s">
        <x:v>90</x:v>
      </x:c>
      <x:c r="C25" s="104">
        <x:v>6.5388780851288617</x:v>
      </x:c>
      <x:c r="D25" s="104">
        <x:v>0.15255761537882959</x:v>
      </x:c>
      <x:c r="E25" s="104">
        <x:v>-0.39765744977723122</x:v>
      </x:c>
      <x:c r="F25" s="104">
        <x:v>-0.24509983439840163</x:v>
      </x:c>
      <x:c r="G25" s="104">
        <x:v>-2.814170347229213E-2</x:v>
      </x:c>
      <x:c r="H25" s="104">
        <x:v>1.1942419724135149</x:v>
      </x:c>
      <x:c r="I25" s="104">
        <x:v>1.1661002689412228</x:v>
      </x:c>
      <x:c r="J25" s="105">
        <x:v>0.37855695260376537</x:v>
      </x:c>
      <x:c r="K25" s="105">
        <x:v>1.6134526135916341</x:v>
      </x:c>
      <x:c r="L25" s="105">
        <x:v>1.419871672982318</x:v>
      </x:c>
      <x:c r="M25" s="105">
        <x:v>3.4118812391777174</x:v>
      </x:c>
      <x:c r="N25" s="105">
        <x:v>4.3328816737205385</x:v>
      </x:c>
      <x:c r="O25" s="106">
        <x:v>2.2059964114083219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13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dfbe922304ff4ceb"/>
</x:worksheet>
</file>

<file path=xl/worksheets/sheet7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2007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56"/>
      <x:c r="B16" s="22" t="s">
        <x:v>81</x:v>
      </x:c>
      <x:c r="C16" s="92">
        <x:v>3.64150359399309</x:v>
      </x:c>
      <x:c r="D16" s="92">
        <x:v>-0.81627520980683455</x:v>
      </x:c>
      <x:c r="E16" s="92">
        <x:v>-4.1525784606878821E-2</x:v>
      </x:c>
      <x:c r="F16" s="92">
        <x:v>-0.85780099441371338</x:v>
      </x:c>
      <x:c r="G16" s="92">
        <x:v>5.999223878226221E-2</x:v>
      </x:c>
      <x:c r="H16" s="92">
        <x:v>0.93858597554631862</x:v>
      </x:c>
      <x:c r="I16" s="92">
        <x:v>0.99857821432858085</x:v>
      </x:c>
      <x:c r="J16" s="92">
        <x:v>0.1151369044825252</x:v>
      </x:c>
      <x:c r="K16" s="92">
        <x:v>0.88678507401872131</x:v>
      </x:c>
      <x:c r="L16" s="92">
        <x:v>0.1755975530459738</x:v>
      </x:c>
      <x:c r="M16" s="92">
        <x:v>1.1775195315472202</x:v>
      </x:c>
      <x:c r="N16" s="92">
        <x:v>1.3182967514620878</x:v>
      </x:c>
      <x:c r="O16" s="154">
        <x:v>2.3232068425310022</x:v>
      </x:c>
      <x:c r="P16" s="42"/>
    </x:row>
    <x:row r="17" s="3" customFormat="1" ht="27" customHeight="1">
      <x:c r="A17" s="55"/>
      <x:c r="B17" s="7" t="s">
        <x:v>82</x:v>
      </x:c>
      <x:c r="C17" s="93">
        <x:v>1.869625670648567</x:v>
      </x:c>
      <x:c r="D17" s="93">
        <x:v>0.34461241639487777</x:v>
      </x:c>
      <x:c r="E17" s="93">
        <x:v>0.74447334082643635</x:v>
      </x:c>
      <x:c r="F17" s="93">
        <x:v>1.0890857572213142</x:v>
      </x:c>
      <x:c r="G17" s="93">
        <x:v>-0.16657145658125019</x:v>
      </x:c>
      <x:c r="H17" s="93">
        <x:v>4.3484636764200388</x:v>
      </x:c>
      <x:c r="I17" s="93">
        <x:v>4.1818922198387884</x:v>
      </x:c>
      <x:c r="J17" s="93">
        <x:v>0.38326026837628852</x:v>
      </x:c>
      <x:c r="K17" s="93">
        <x:v>-0.1195282099072407</x:v>
      </x:c>
      <x:c r="L17" s="93">
        <x:v>0.65922254419878623</x:v>
      </x:c>
      <x:c r="M17" s="93">
        <x:v>0.92295460266783402</x:v>
      </x:c>
      <x:c r="N17" s="93">
        <x:v>6.1939325797279361</x:v>
      </x:c>
      <x:c r="O17" s="101">
        <x:v>-4.3243069090793691</x:v>
      </x:c>
      <x:c r="P17" s="42"/>
    </x:row>
    <x:row r="18" s="3" customFormat="1" ht="27" customHeight="1">
      <x:c r="A18" s="56"/>
      <x:c r="B18" s="22" t="s">
        <x:v>83</x:v>
      </x:c>
      <x:c r="C18" s="92">
        <x:v>6.5307535543767337</x:v>
      </x:c>
      <x:c r="D18" s="92">
        <x:v>0.26625862867697742</x:v>
      </x:c>
      <x:c r="E18" s="92">
        <x:v>1.3048531334583089</x:v>
      </x:c>
      <x:c r="F18" s="92">
        <x:v>1.5711117621352864</x:v>
      </x:c>
      <x:c r="G18" s="92">
        <x:v>-3.1382464927707653E-2</x:v>
      </x:c>
      <x:c r="H18" s="92">
        <x:v>1.140556366946228</x:v>
      </x:c>
      <x:c r="I18" s="92">
        <x:v>1.1091739020185203</x:v>
      </x:c>
      <x:c r="J18" s="92">
        <x:v>0.3197591563902546</x:v>
      </x:c>
      <x:c r="K18" s="92">
        <x:v>2.3708084223034982</x:v>
      </x:c>
      <x:c r="L18" s="92">
        <x:v>1.1525481475366239</x:v>
      </x:c>
      <x:c r="M18" s="92">
        <x:v>3.8431157262303763</x:v>
      </x:c>
      <x:c r="N18" s="92">
        <x:v>6.5234013903841834</x:v>
      </x:c>
      <x:c r="O18" s="102">
        <x:v>7.3521639925502313E-3</x:v>
      </x:c>
      <x:c r="P18" s="42"/>
    </x:row>
    <x:row r="19" s="3" customFormat="1" ht="27" customHeight="1">
      <x:c r="A19" s="55"/>
      <x:c r="B19" s="7" t="s">
        <x:v>84</x:v>
      </x:c>
      <x:c r="C19" s="93">
        <x:v>4.0728641271494226</x:v>
      </x:c>
      <x:c r="D19" s="93">
        <x:v>0.1142028439227491</x:v>
      </x:c>
      <x:c r="E19" s="93">
        <x:v>-9.9522421948612924E-2</x:v>
      </x:c>
      <x:c r="F19" s="93">
        <x:v>1.4680421974136174E-2</x:v>
      </x:c>
      <x:c r="G19" s="93">
        <x:v>-3.7252847808168753E-2</x:v>
      </x:c>
      <x:c r="H19" s="93">
        <x:v>1.616827479209489</x:v>
      </x:c>
      <x:c r="I19" s="93">
        <x:v>1.5795746314013202</x:v>
      </x:c>
      <x:c r="J19" s="93">
        <x:v>2.8082406442968328</x:v>
      </x:c>
      <x:c r="K19" s="93">
        <x:v>-3.7543240800771441E-2</x:v>
      </x:c>
      <x:c r="L19" s="93">
        <x:v>-0.75123516704405902</x:v>
      </x:c>
      <x:c r="M19" s="93">
        <x:v>2.0194622364520023</x:v>
      </x:c>
      <x:c r="N19" s="93">
        <x:v>3.6137172898274588</x:v>
      </x:c>
      <x:c r="O19" s="101">
        <x:v>0.45914683732196337</x:v>
      </x:c>
      <x:c r="P19" s="42"/>
    </x:row>
    <x:row r="20" s="3" customFormat="1" ht="27" customHeight="1">
      <x:c r="A20" s="56"/>
      <x:c r="B20" s="22" t="s">
        <x:v>85</x:v>
      </x:c>
      <x:c r="C20" s="92">
        <x:v>6.2054086816321066</x:v>
      </x:c>
      <x:c r="D20" s="92">
        <x:v>9.1647901376940843E-2</x:v>
      </x:c>
      <x:c r="E20" s="92">
        <x:v>1.358941189538742</x:v>
      </x:c>
      <x:c r="F20" s="92">
        <x:v>1.4505890909156829</x:v>
      </x:c>
      <x:c r="G20" s="92">
        <x:v>-3.3098183337865072E-2</x:v>
      </x:c>
      <x:c r="H20" s="92">
        <x:v>1.580560440317772</x:v>
      </x:c>
      <x:c r="I20" s="92">
        <x:v>1.547462256979907</x:v>
      </x:c>
      <x:c r="J20" s="92">
        <x:v>5.8952095013365541E-2</x:v>
      </x:c>
      <x:c r="K20" s="92">
        <x:v>3.278771226058371</x:v>
      </x:c>
      <x:c r="L20" s="92">
        <x:v>0.6333754103194289</x:v>
      </x:c>
      <x:c r="M20" s="92">
        <x:v>3.9710987313911659</x:v>
      </x:c>
      <x:c r="N20" s="92">
        <x:v>6.9691500792867558</x:v>
      </x:c>
      <x:c r="O20" s="102">
        <x:v>-0.76374139765464832</x:v>
      </x:c>
      <x:c r="P20" s="42"/>
    </x:row>
    <x:row r="21" s="3" customFormat="1" ht="27" customHeight="1">
      <x:c r="A21" s="55"/>
      <x:c r="B21" s="7" t="s">
        <x:v>86</x:v>
      </x:c>
      <x:c r="C21" s="93">
        <x:v>7.1870400769152631</x:v>
      </x:c>
      <x:c r="D21" s="93">
        <x:v>0.37460495398366878</x:v>
      </x:c>
      <x:c r="E21" s="93">
        <x:v>3.526244967227977</x:v>
      </x:c>
      <x:c r="F21" s="93">
        <x:v>3.9008499212116456</x:v>
      </x:c>
      <x:c r="G21" s="93">
        <x:v>4.5684338535720473E-2</x:v>
      </x:c>
      <x:c r="H21" s="93">
        <x:v>0.24883958964214301</x:v>
      </x:c>
      <x:c r="I21" s="93">
        <x:v>0.29452392817786349</x:v>
      </x:c>
      <x:c r="J21" s="93">
        <x:v>0.16968550395611751</x:v>
      </x:c>
      <x:c r="K21" s="93">
        <x:v>0.42074693892842668</x:v>
      </x:c>
      <x:c r="L21" s="93">
        <x:v>2.2806879032807039</x:v>
      </x:c>
      <x:c r="M21" s="93">
        <x:v>2.8711203461652479</x:v>
      </x:c>
      <x:c r="N21" s="93">
        <x:v>7.0664941955547569</x:v>
      </x:c>
      <x:c r="O21" s="101">
        <x:v>0.1205458813605063</x:v>
      </x:c>
      <x:c r="P21" s="42"/>
    </x:row>
    <x:row r="22" s="3" customFormat="1" ht="27" customHeight="1">
      <x:c r="A22" s="56"/>
      <x:c r="B22" s="22" t="s">
        <x:v>87</x:v>
      </x:c>
      <x:c r="C22" s="92">
        <x:v>9.8580016245235491</x:v>
      </x:c>
      <x:c r="D22" s="92">
        <x:v>-1.356933712156686E-2</x:v>
      </x:c>
      <x:c r="E22" s="92">
        <x:v>5.1146038967919303</x:v>
      </x:c>
      <x:c r="F22" s="92">
        <x:v>5.1010345596703637</x:v>
      </x:c>
      <x:c r="G22" s="92">
        <x:v>0.2441433626567904</x:v>
      </x:c>
      <x:c r="H22" s="92">
        <x:v>1.628254530239845</x:v>
      </x:c>
      <x:c r="I22" s="92">
        <x:v>1.8723978928966354</x:v>
      </x:c>
      <x:c r="J22" s="92">
        <x:v>0.84448321482821298</x:v>
      </x:c>
      <x:c r="K22" s="92">
        <x:v>0.21461275454934639</x:v>
      </x:c>
      <x:c r="L22" s="92">
        <x:v>3.0916557786731431</x:v>
      </x:c>
      <x:c r="M22" s="92">
        <x:v>4.1507517480507028</x:v>
      </x:c>
      <x:c r="N22" s="92">
        <x:v>11.124184200617702</x:v>
      </x:c>
      <x:c r="O22" s="102">
        <x:v>-1.266182576094153</x:v>
      </x:c>
      <x:c r="P22" s="42"/>
    </x:row>
    <x:row r="23" s="3" customFormat="1" ht="27" customHeight="1">
      <x:c r="A23" s="55"/>
      <x:c r="B23" s="7" t="s">
        <x:v>88</x:v>
      </x:c>
      <x:c r="C23" s="93">
        <x:v>6.7778106177386546</x:v>
      </x:c>
      <x:c r="D23" s="93">
        <x:v>0.31895502355871058</x:v>
      </x:c>
      <x:c r="E23" s="93">
        <x:v>6.5456189123505952</x:v>
      </x:c>
      <x:c r="F23" s="93">
        <x:v>6.8645739359093056</x:v>
      </x:c>
      <x:c r="G23" s="93">
        <x:v>-0.1259498193598006</x:v>
      </x:c>
      <x:c r="H23" s="93">
        <x:v>3.4087798434896999</x:v>
      </x:c>
      <x:c r="I23" s="93">
        <x:v>3.2828300241298991</x:v>
      </x:c>
      <x:c r="J23" s="93">
        <x:v>3.1062944090720499E-2</x:v>
      </x:c>
      <x:c r="K23" s="93">
        <x:v>-4.2971084224576683E-2</x:v>
      </x:c>
      <x:c r="L23" s="93">
        <x:v>2.1594134608323849</x:v>
      </x:c>
      <x:c r="M23" s="93">
        <x:v>2.1475053206985288</x:v>
      </x:c>
      <x:c r="N23" s="93">
        <x:v>12.294909280737734</x:v>
      </x:c>
      <x:c r="O23" s="101">
        <x:v>-5.5170986629990768</x:v>
      </x:c>
      <x:c r="P23" s="42"/>
    </x:row>
    <x:row r="24" s="3" customFormat="1" ht="27" customHeight="1">
      <x:c r="A24" s="56"/>
      <x:c r="B24" s="22" t="s">
        <x:v>89</x:v>
      </x:c>
      <x:c r="C24" s="92">
        <x:v>4.468219676041052</x:v>
      </x:c>
      <x:c r="D24" s="92">
        <x:v>1.6024327340058711</x:v>
      </x:c>
      <x:c r="E24" s="92">
        <x:v>2.9298605533105619</x:v>
      </x:c>
      <x:c r="F24" s="92">
        <x:v>4.532293287316433</x:v>
      </x:c>
      <x:c r="G24" s="92">
        <x:v>-2.7861059889562449E-2</x:v>
      </x:c>
      <x:c r="H24" s="92">
        <x:v>0.34697550918398801</x:v>
      </x:c>
      <x:c r="I24" s="92">
        <x:v>0.31911444929442556</x:v>
      </x:c>
      <x:c r="J24" s="92">
        <x:v>9.7291562583542102E-2</x:v>
      </x:c>
      <x:c r="K24" s="92">
        <x:v>-0.20671704989676609</x:v>
      </x:c>
      <x:c r="L24" s="92">
        <x:v>2.4251444551082022</x:v>
      </x:c>
      <x:c r="M24" s="92">
        <x:v>2.3157189677949783</x:v>
      </x:c>
      <x:c r="N24" s="92">
        <x:v>7.1671267044058364</x:v>
      </x:c>
      <x:c r="O24" s="102">
        <x:v>-2.698907028364784</x:v>
      </x:c>
      <x:c r="P24" s="42"/>
    </x:row>
    <x:row r="25" s="3" customFormat="1" ht="27" customHeight="1">
      <x:c r="A25" s="57"/>
      <x:c r="B25" s="58" t="s">
        <x:v>90</x:v>
      </x:c>
      <x:c r="C25" s="104">
        <x:v>6.1080525619143238</x:v>
      </x:c>
      <x:c r="D25" s="104">
        <x:v>0.38118011591062462</x:v>
      </x:c>
      <x:c r="E25" s="104">
        <x:v>2.7378735480823231</x:v>
      </x:c>
      <x:c r="F25" s="104">
        <x:v>3.1190536639929478</x:v>
      </x:c>
      <x:c r="G25" s="104">
        <x:v>-1.05926793477193E-2</x:v>
      </x:c>
      <x:c r="H25" s="104">
        <x:v>1.4666093530180391</x:v>
      </x:c>
      <x:c r="I25" s="104">
        <x:v>1.4560166736703197</x:v>
      </x:c>
      <x:c r="J25" s="105">
        <x:v>0.32046285962317878</x:v>
      </x:c>
      <x:c r="K25" s="105">
        <x:v>0.98656179580142678</x:v>
      </x:c>
      <x:c r="L25" s="105">
        <x:v>1.6127089801459711</x:v>
      </x:c>
      <x:c r="M25" s="105">
        <x:v>2.9197336355705765</x:v>
      </x:c>
      <x:c r="N25" s="105">
        <x:v>7.4948039732338438</x:v>
      </x:c>
      <x:c r="O25" s="106">
        <x:v>-1.386751411319521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c2e46cede05242be"/>
</x:worksheet>
</file>

<file path=xl/worksheets/sheet8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2008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2.142268019067473E-3</x:v>
      </x:c>
      <x:c r="D16" s="92">
        <x:v>0.8627225385358116</x:v>
      </x:c>
      <x:c r="E16" s="92">
        <x:v>0.71318741232742822</x:v>
      </x:c>
      <x:c r="F16" s="92">
        <x:v>1.5759099508632399</x:v>
      </x:c>
      <x:c r="G16" s="92">
        <x:v>-4.1712030185185052E-2</x:v>
      </x:c>
      <x:c r="H16" s="92">
        <x:v>0.8659077803262375</x:v>
      </x:c>
      <x:c r="I16" s="92">
        <x:v>0.8241957501410524</x:v>
      </x:c>
      <x:c r="J16" s="92">
        <x:v>0.19093030847732689</x:v>
      </x:c>
      <x:c r="K16" s="92">
        <x:v>0.78924936830432468</x:v>
      </x:c>
      <x:c r="L16" s="92">
        <x:v>-0.4855974451805512</x:v>
      </x:c>
      <x:c r="M16" s="92">
        <x:v>0.49458223160110032</x:v>
      </x:c>
      <x:c r="N16" s="92">
        <x:v>2.8946879326053927</x:v>
      </x:c>
      <x:c r="O16" s="154">
        <x:v>-2.8925456645863248</x:v>
      </x:c>
      <x:c r="P16" s="42"/>
    </x:row>
    <x:row r="17" s="3" customFormat="1" ht="27" customHeight="1">
      <x:c r="A17" s="81"/>
      <x:c r="B17" s="7" t="s">
        <x:v>82</x:v>
      </x:c>
      <x:c r="C17" s="93">
        <x:v>9.185078757807652</x:v>
      </x:c>
      <x:c r="D17" s="93">
        <x:v>1.383808935866611</x:v>
      </x:c>
      <x:c r="E17" s="93">
        <x:v>1.780522400694911</x:v>
      </x:c>
      <x:c r="F17" s="93">
        <x:v>3.164331336561522</x:v>
      </x:c>
      <x:c r="G17" s="93">
        <x:v>0.66087940224351993</x:v>
      </x:c>
      <x:c r="H17" s="93">
        <x:v>5.4454929707189574</x:v>
      </x:c>
      <x:c r="I17" s="93">
        <x:v>6.1063723729624773</x:v>
      </x:c>
      <x:c r="J17" s="93">
        <x:v>1.011654716163912</x:v>
      </x:c>
      <x:c r="K17" s="93">
        <x:v>0.1036826476113777</x:v>
      </x:c>
      <x:c r="L17" s="93">
        <x:v>1.5727141372818501</x:v>
      </x:c>
      <x:c r="M17" s="93">
        <x:v>2.6880515010571395</x:v>
      </x:c>
      <x:c r="N17" s="93">
        <x:v>11.95875521058114</x:v>
      </x:c>
      <x:c r="O17" s="101">
        <x:v>-2.7736764527734858</x:v>
      </x:c>
      <x:c r="P17" s="42"/>
    </x:row>
    <x:row r="18" s="3" customFormat="1" ht="27" customHeight="1">
      <x:c r="A18" s="80"/>
      <x:c r="B18" s="22" t="s">
        <x:v>83</x:v>
      </x:c>
      <x:c r="C18" s="92">
        <x:v>0.62757629018070915</x:v>
      </x:c>
      <x:c r="D18" s="92">
        <x:v>0.28612854842146468</x:v>
      </x:c>
      <x:c r="E18" s="92">
        <x:v>-0.17128446922444471</x:v>
      </x:c>
      <x:c r="F18" s="92">
        <x:v>0.11484407919701997</x:v>
      </x:c>
      <x:c r="G18" s="92">
        <x:v>8.218755997202485E-3</x:v>
      </x:c>
      <x:c r="H18" s="92">
        <x:v>1.337731318717736</x:v>
      </x:c>
      <x:c r="I18" s="92">
        <x:v>1.3459500747149384</x:v>
      </x:c>
      <x:c r="J18" s="92">
        <x:v>0.34719584700463912</x:v>
      </x:c>
      <x:c r="K18" s="92">
        <x:v>0.31865245693564848</x:v>
      </x:c>
      <x:c r="L18" s="92">
        <x:v>-0.1624193395138156</x:v>
      </x:c>
      <x:c r="M18" s="92">
        <x:v>0.503428964426472</x:v>
      </x:c>
      <x:c r="N18" s="92">
        <x:v>1.9642231183384304</x:v>
      </x:c>
      <x:c r="O18" s="102">
        <x:v>-1.336646828157722</x:v>
      </x:c>
      <x:c r="P18" s="42"/>
    </x:row>
    <x:row r="19" s="3" customFormat="1" ht="27" customHeight="1">
      <x:c r="A19" s="81"/>
      <x:c r="B19" s="7" t="s">
        <x:v>84</x:v>
      </x:c>
      <x:c r="C19" s="93">
        <x:v>0.1424691928794353</x:v>
      </x:c>
      <x:c r="D19" s="93">
        <x:v>-4.9897477962752852E-2</x:v>
      </x:c>
      <x:c r="E19" s="93">
        <x:v>3.56860737660432E-2</x:v>
      </x:c>
      <x:c r="F19" s="93">
        <x:v>-1.4211404196709652E-2</x:v>
      </x:c>
      <x:c r="G19" s="93">
        <x:v>-2.174756751440983E-2</x:v>
      </x:c>
      <x:c r="H19" s="93">
        <x:v>1.54291582267383</x:v>
      </x:c>
      <x:c r="I19" s="93">
        <x:v>1.5211682551594201</x:v>
      </x:c>
      <x:c r="J19" s="93">
        <x:v>1.4581875817567509</x:v>
      </x:c>
      <x:c r="K19" s="93">
        <x:v>1.130548701613643E-2</x:v>
      </x:c>
      <x:c r="L19" s="93">
        <x:v>-1.383137740193791</x:v>
      </x:c>
      <x:c r="M19" s="93">
        <x:v>8.6355328579096335E-2</x:v>
      </x:c>
      <x:c r="N19" s="93">
        <x:v>1.5933121795418068</x:v>
      </x:c>
      <x:c r="O19" s="101">
        <x:v>-1.450842986662372</x:v>
      </x:c>
      <x:c r="P19" s="42"/>
    </x:row>
    <x:row r="20" s="3" customFormat="1" ht="27" customHeight="1">
      <x:c r="A20" s="80"/>
      <x:c r="B20" s="22" t="s">
        <x:v>85</x:v>
      </x:c>
      <x:c r="C20" s="92">
        <x:v>10.438869613583799</x:v>
      </x:c>
      <x:c r="D20" s="92">
        <x:v>-0.2465360184593206</x:v>
      </x:c>
      <x:c r="E20" s="92">
        <x:v>-1.5595388695262009E-2</x:v>
      </x:c>
      <x:c r="F20" s="92">
        <x:v>-0.26213140715458261</x:v>
      </x:c>
      <x:c r="G20" s="92">
        <x:v>-1.8475174159669299E-2</x:v>
      </x:c>
      <x:c r="H20" s="92">
        <x:v>0.50215653761298551</x:v>
      </x:c>
      <x:c r="I20" s="92">
        <x:v>0.48368136345331619</x:v>
      </x:c>
      <x:c r="J20" s="92">
        <x:v>0.21763148219454881</x:v>
      </x:c>
      <x:c r="K20" s="92">
        <x:v>4.3985066434286688</x:v>
      </x:c>
      <x:c r="L20" s="92">
        <x:v>2.6584781081104438</x:v>
      </x:c>
      <x:c r="M20" s="92">
        <x:v>7.2746162337336617</x:v>
      </x:c>
      <x:c r="N20" s="92">
        <x:v>7.4961661900323957</x:v>
      </x:c>
      <x:c r="O20" s="102">
        <x:v>2.9427034235514058</x:v>
      </x:c>
      <x:c r="P20" s="42"/>
    </x:row>
    <x:row r="21" s="3" customFormat="1" ht="27" customHeight="1">
      <x:c r="A21" s="81"/>
      <x:c r="B21" s="7" t="s">
        <x:v>86</x:v>
      </x:c>
      <x:c r="C21" s="93">
        <x:v>3.8230335593134162</x:v>
      </x:c>
      <x:c r="D21" s="93">
        <x:v>0.45258553666687101</x:v>
      </x:c>
      <x:c r="E21" s="93">
        <x:v>1.325685792882551</x:v>
      </x:c>
      <x:c r="F21" s="93">
        <x:v>1.7782713295494219</x:v>
      </x:c>
      <x:c r="G21" s="93">
        <x:v>4.9383026138985889E-2</x:v>
      </x:c>
      <x:c r="H21" s="93">
        <x:v>0.13740746762859121</x:v>
      </x:c>
      <x:c r="I21" s="93">
        <x:v>0.18679049376757711</x:v>
      </x:c>
      <x:c r="J21" s="93">
        <x:v>0.17612541161010009</x:v>
      </x:c>
      <x:c r="K21" s="93">
        <x:v>1.029762285365466</x:v>
      </x:c>
      <x:c r="L21" s="93">
        <x:v>0.95803278993657348</x:v>
      </x:c>
      <x:c r="M21" s="93">
        <x:v>2.1639204869121396</x:v>
      </x:c>
      <x:c r="N21" s="93">
        <x:v>4.128982310229139</x:v>
      </x:c>
      <x:c r="O21" s="101">
        <x:v>-0.30594875091572238</x:v>
      </x:c>
      <x:c r="P21" s="42"/>
    </x:row>
    <x:row r="22" s="3" customFormat="1" ht="27" customHeight="1">
      <x:c r="A22" s="80"/>
      <x:c r="B22" s="22" t="s">
        <x:v>87</x:v>
      </x:c>
      <x:c r="C22" s="92">
        <x:v>3.357263059007209</x:v>
      </x:c>
      <x:c r="D22" s="92">
        <x:v>-0.2193861710681089</x:v>
      </x:c>
      <x:c r="E22" s="92">
        <x:v>1.3901186158962759</x:v>
      </x:c>
      <x:c r="F22" s="92">
        <x:v>1.1707324448281671</x:v>
      </x:c>
      <x:c r="G22" s="92">
        <x:v>0.16950894023129981</x:v>
      </x:c>
      <x:c r="H22" s="92">
        <x:v>0.7609486213967136</x:v>
      </x:c>
      <x:c r="I22" s="92">
        <x:v>0.93045756162801341</x:v>
      </x:c>
      <x:c r="J22" s="92">
        <x:v>0.98692853963444271</x:v>
      </x:c>
      <x:c r="K22" s="92">
        <x:v>0.28285253090650281</x:v>
      </x:c>
      <x:c r="L22" s="92">
        <x:v>0.70788715862567186</x:v>
      </x:c>
      <x:c r="M22" s="92">
        <x:v>1.9776682291666174</x:v>
      </x:c>
      <x:c r="N22" s="92">
        <x:v>4.078858235622798</x:v>
      </x:c>
      <x:c r="O22" s="102">
        <x:v>-0.72159517661558858</x:v>
      </x:c>
      <x:c r="P22" s="42"/>
    </x:row>
    <x:row r="23" s="3" customFormat="1" ht="27" customHeight="1">
      <x:c r="A23" s="81"/>
      <x:c r="B23" s="7" t="s">
        <x:v>88</x:v>
      </x:c>
      <x:c r="C23" s="93">
        <x:v>4.834300033692962</x:v>
      </x:c>
      <x:c r="D23" s="93">
        <x:v>-0.21216080327304951</x:v>
      </x:c>
      <x:c r="E23" s="93">
        <x:v>4.2068408070015773</x:v>
      </x:c>
      <x:c r="F23" s="93">
        <x:v>3.9946800037285279</x:v>
      </x:c>
      <x:c r="G23" s="93">
        <x:v>0.11063450840737379</x:v>
      </x:c>
      <x:c r="H23" s="93">
        <x:v>2.27384944086316</x:v>
      </x:c>
      <x:c r="I23" s="93">
        <x:v>2.3844839492705336</x:v>
      </x:c>
      <x:c r="J23" s="93">
        <x:v>3.0698672436770939E-2</x:v>
      </x:c>
      <x:c r="K23" s="93">
        <x:v>7.4422619542207788E-2</x:v>
      </x:c>
      <x:c r="L23" s="93">
        <x:v>1.4801209342601269</x:v>
      </x:c>
      <x:c r="M23" s="93">
        <x:v>1.5852422262391057</x:v>
      </x:c>
      <x:c r="N23" s="93">
        <x:v>7.9644061792381677</x:v>
      </x:c>
      <x:c r="O23" s="101">
        <x:v>-3.1301061455452062</x:v>
      </x:c>
      <x:c r="P23" s="42"/>
    </x:row>
    <x:row r="24" s="3" customFormat="1" ht="27" customHeight="1">
      <x:c r="A24" s="80"/>
      <x:c r="B24" s="22" t="s">
        <x:v>89</x:v>
      </x:c>
      <x:c r="C24" s="92">
        <x:v>3.3933346549292591</x:v>
      </x:c>
      <x:c r="D24" s="92">
        <x:v>1.0129838589671269</x:v>
      </x:c>
      <x:c r="E24" s="92">
        <x:v>-1.424368339832299</x:v>
      </x:c>
      <x:c r="F24" s="92">
        <x:v>-0.4113844808651721</x:v>
      </x:c>
      <x:c r="G24" s="92">
        <x:v>-2.6857515467588619E-2</x:v>
      </x:c>
      <x:c r="H24" s="92">
        <x:v>0.2308863309395538</x:v>
      </x:c>
      <x:c r="I24" s="92">
        <x:v>0.20402881547196516</x:v>
      </x:c>
      <x:c r="J24" s="92">
        <x:v>0.1106559589966092</x:v>
      </x:c>
      <x:c r="K24" s="92">
        <x:v>0.55542026615734008</x:v>
      </x:c>
      <x:c r="L24" s="92">
        <x:v>1.511616259656364</x:v>
      </x:c>
      <x:c r="M24" s="92">
        <x:v>2.1776924848103132</x:v>
      </x:c>
      <x:c r="N24" s="92">
        <x:v>1.9703368194171063</x:v>
      </x:c>
      <x:c r="O24" s="102">
        <x:v>1.422997835512152</x:v>
      </x:c>
      <x:c r="P24" s="42"/>
    </x:row>
    <x:row r="25" s="3" customFormat="1" ht="27" customHeight="1">
      <x:c r="A25" s="57"/>
      <x:c r="B25" s="58" t="s">
        <x:v>90</x:v>
      </x:c>
      <x:c r="C25" s="104">
        <x:v>3.536170098948586</x:v>
      </x:c>
      <x:c r="D25" s="104">
        <x:v>0.34205261435567302</x:v>
      </x:c>
      <x:c r="E25" s="104">
        <x:v>0.75832505353015534</x:v>
      </x:c>
      <x:c r="F25" s="104">
        <x:v>1.1003776678858284</x:v>
      </x:c>
      <x:c r="G25" s="104">
        <x:v>6.7370022693686527E-2</x:v>
      </x:c>
      <x:c r="H25" s="104">
        <x:v>1.237462048081329</x:v>
      </x:c>
      <x:c r="I25" s="104">
        <x:v>1.3048320707750154</x:v>
      </x:c>
      <x:c r="J25" s="105">
        <x:v>0.35500680575932242</x:v>
      </x:c>
      <x:c r="K25" s="105">
        <x:v>0.76293856372188018</x:v>
      </x:c>
      <x:c r="L25" s="105">
        <x:v>0.81553169705380424</x:v>
      </x:c>
      <x:c r="M25" s="105">
        <x:v>1.9334770665350069</x:v>
      </x:c>
      <x:c r="N25" s="105">
        <x:v>4.3386868051958505</x:v>
      </x:c>
      <x:c r="O25" s="106">
        <x:v>-0.80251670624726579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b510e444f8114144"/>
</x:worksheet>
</file>

<file path=xl/worksheets/sheet9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2009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-1.6560223284898259</x:v>
      </x:c>
      <x:c r="D16" s="92">
        <x:v>-0.63555919557313489</x:v>
      </x:c>
      <x:c r="E16" s="92">
        <x:v>1.7628166503423259</x:v>
      </x:c>
      <x:c r="F16" s="92">
        <x:v>1.1272574547691909</x:v>
      </x:c>
      <x:c r="G16" s="92">
        <x:v>-2.369117238446292E-2</x:v>
      </x:c>
      <x:c r="H16" s="92">
        <x:v>1.3317578868930779</x:v>
      </x:c>
      <x:c r="I16" s="92">
        <x:v>1.3080667145086151</x:v>
      </x:c>
      <x:c r="J16" s="92">
        <x:v>4.0435800878452118E-2</x:v>
      </x:c>
      <x:c r="K16" s="92">
        <x:v>-1.361446808635548</x:v>
      </x:c>
      <x:c r="L16" s="92">
        <x:v>-0.17948316074362761</x:v>
      </x:c>
      <x:c r="M16" s="92">
        <x:v>-1.5004941685007234</x:v>
      </x:c>
      <x:c r="N16" s="92">
        <x:v>0.93483000077708267</x:v>
      </x:c>
      <x:c r="O16" s="154">
        <x:v>-2.5908523292669079</x:v>
      </x:c>
      <x:c r="P16" s="42"/>
    </x:row>
    <x:row r="17" s="3" customFormat="1" ht="27" customHeight="1">
      <x:c r="A17" s="81"/>
      <x:c r="B17" s="7" t="s">
        <x:v>82</x:v>
      </x:c>
      <x:c r="C17" s="93">
        <x:v>10.43268725845561</x:v>
      </x:c>
      <x:c r="D17" s="93">
        <x:v>-0.63336191909074824</x:v>
      </x:c>
      <x:c r="E17" s="93">
        <x:v>-2.1698241744707731</x:v>
      </x:c>
      <x:c r="F17" s="93">
        <x:v>-2.8031860935615214</x:v>
      </x:c>
      <x:c r="G17" s="93">
        <x:v>0.2402434463681774</x:v>
      </x:c>
      <x:c r="H17" s="93">
        <x:v>3.004779138784361</x:v>
      </x:c>
      <x:c r="I17" s="93">
        <x:v>3.2450225851525385</x:v>
      </x:c>
      <x:c r="J17" s="93">
        <x:v>0.44594353924901331</x:v>
      </x:c>
      <x:c r="K17" s="93">
        <x:v>5.8335678476538151E-2</x:v>
      </x:c>
      <x:c r="L17" s="93">
        <x:v>2.00672329470552</x:v>
      </x:c>
      <x:c r="M17" s="93">
        <x:v>2.5110025124310713</x:v>
      </x:c>
      <x:c r="N17" s="93">
        <x:v>2.9528390040220884</x:v>
      </x:c>
      <x:c r="O17" s="101">
        <x:v>7.4798482544335201</x:v>
      </x:c>
      <x:c r="P17" s="42"/>
    </x:row>
    <x:row r="18" s="3" customFormat="1" ht="27" customHeight="1">
      <x:c r="A18" s="80"/>
      <x:c r="B18" s="22" t="s">
        <x:v>83</x:v>
      </x:c>
      <x:c r="C18" s="92">
        <x:v>-4.1194281611083738</x:v>
      </x:c>
      <x:c r="D18" s="92">
        <x:v>-0.36313560196829159</x:v>
      </x:c>
      <x:c r="E18" s="92">
        <x:v>0.37250938413222179</x:v>
      </x:c>
      <x:c r="F18" s="92">
        <x:v>9.3737821639301999E-3</x:v>
      </x:c>
      <x:c r="G18" s="92">
        <x:v>-9.8458141518144218E-3</x:v>
      </x:c>
      <x:c r="H18" s="92">
        <x:v>1.0104653830734329</x:v>
      </x:c>
      <x:c r="I18" s="92">
        <x:v>1.0006195689216184</x:v>
      </x:c>
      <x:c r="J18" s="92">
        <x:v>0.16462416519065001</x:v>
      </x:c>
      <x:c r="K18" s="92">
        <x:v>-2.829898787667986</x:v>
      </x:c>
      <x:c r="L18" s="92">
        <x:v>-0.22023490929413711</x:v>
      </x:c>
      <x:c r="M18" s="92">
        <x:v>-2.885509531771473</x:v>
      </x:c>
      <x:c r="N18" s="92">
        <x:v>-1.8755161806859244</x:v>
      </x:c>
      <x:c r="O18" s="102">
        <x:v>-2.2439119804224492</x:v>
      </x:c>
      <x:c r="P18" s="42"/>
    </x:row>
    <x:row r="19" s="3" customFormat="1" ht="27" customHeight="1">
      <x:c r="A19" s="81"/>
      <x:c r="B19" s="7" t="s">
        <x:v>84</x:v>
      </x:c>
      <x:c r="C19" s="93">
        <x:v>2.882954470155052</x:v>
      </x:c>
      <x:c r="D19" s="93">
        <x:v>-1.9828014209415799E-2</x:v>
      </x:c>
      <x:c r="E19" s="93">
        <x:v>6.5864089685773189E-2</x:v>
      </x:c>
      <x:c r="F19" s="93">
        <x:v>4.6036075476357394E-2</x:v>
      </x:c>
      <x:c r="G19" s="93">
        <x:v>-1.8173824470756279E-2</x:v>
      </x:c>
      <x:c r="H19" s="93">
        <x:v>1.492175641512695</x:v>
      </x:c>
      <x:c r="I19" s="93">
        <x:v>1.4740018170419387</x:v>
      </x:c>
      <x:c r="J19" s="93">
        <x:v>2.81008054535463</x:v>
      </x:c>
      <x:c r="K19" s="93">
        <x:v>-0.36152078641432023</x:v>
      </x:c>
      <x:c r="L19" s="93">
        <x:v>-0.97878755581958665</x:v>
      </x:c>
      <x:c r="M19" s="93">
        <x:v>1.469772203120723</x:v>
      </x:c>
      <x:c r="N19" s="93">
        <x:v>2.9898100956390192</x:v>
      </x:c>
      <x:c r="O19" s="101">
        <x:v>-0.10685562548396629</x:v>
      </x:c>
      <x:c r="P19" s="42"/>
    </x:row>
    <x:row r="20" s="3" customFormat="1" ht="27" customHeight="1">
      <x:c r="A20" s="80"/>
      <x:c r="B20" s="22" t="s">
        <x:v>85</x:v>
      </x:c>
      <x:c r="C20" s="92">
        <x:v>1.2371890627472131</x:v>
      </x:c>
      <x:c r="D20" s="92">
        <x:v>-0.52100500191428178</x:v>
      </x:c>
      <x:c r="E20" s="92">
        <x:v>0.94406049273073833</x:v>
      </x:c>
      <x:c r="F20" s="92">
        <x:v>0.42305549081645655</x:v>
      </x:c>
      <x:c r="G20" s="92">
        <x:v>-1.0839276391848949E-2</x:v>
      </x:c>
      <x:c r="H20" s="92">
        <x:v>1.706237797184134</x:v>
      </x:c>
      <x:c r="I20" s="92">
        <x:v>1.695398520792285</x:v>
      </x:c>
      <x:c r="J20" s="92">
        <x:v>8.0375327329234483E-2</x:v>
      </x:c>
      <x:c r="K20" s="92">
        <x:v>-0.50782470874674923</x:v>
      </x:c>
      <x:c r="L20" s="92">
        <x:v>0.81955871543909387</x:v>
      </x:c>
      <x:c r="M20" s="92">
        <x:v>0.3921093340215791</x:v>
      </x:c>
      <x:c r="N20" s="92">
        <x:v>2.5105633456303207</x:v>
      </x:c>
      <x:c r="O20" s="102">
        <x:v>-1.2733742828831081</x:v>
      </x:c>
      <x:c r="P20" s="42"/>
    </x:row>
    <x:row r="21" s="3" customFormat="1" ht="27" customHeight="1">
      <x:c r="A21" s="81"/>
      <x:c r="B21" s="7" t="s">
        <x:v>86</x:v>
      </x:c>
      <x:c r="C21" s="93">
        <x:v>-0.1781273740695255</x:v>
      </x:c>
      <x:c r="D21" s="93">
        <x:v>-0.59717678252892747</x:v>
      </x:c>
      <x:c r="E21" s="93">
        <x:v>1.50575769536005</x:v>
      </x:c>
      <x:c r="F21" s="93">
        <x:v>0.90858091283112252</x:v>
      </x:c>
      <x:c r="G21" s="93">
        <x:v>0</x:v>
      </x:c>
      <x:c r="H21" s="93">
        <x:v>0</x:v>
      </x:c>
      <x:c r="I21" s="93">
        <x:v>0</x:v>
      </x:c>
      <x:c r="J21" s="93">
        <x:v>3.1625930896520868E-2</x:v>
      </x:c>
      <x:c r="K21" s="93">
        <x:v>-0.49571717985739872</x:v>
      </x:c>
      <x:c r="L21" s="93">
        <x:v>0.24411632217977139</x:v>
      </x:c>
      <x:c r="M21" s="93">
        <x:v>-0.21997492678110644</x:v>
      </x:c>
      <x:c r="N21" s="93">
        <x:v>0.68860598605001611</x:v>
      </x:c>
      <x:c r="O21" s="101">
        <x:v>-0.86673336011954161</x:v>
      </x:c>
      <x:c r="P21" s="42"/>
    </x:row>
    <x:row r="22" s="3" customFormat="1" ht="27" customHeight="1">
      <x:c r="A22" s="80"/>
      <x:c r="B22" s="22" t="s">
        <x:v>87</x:v>
      </x:c>
      <x:c r="C22" s="92">
        <x:v>-4.1917420538542416</x:v>
      </x:c>
      <x:c r="D22" s="92">
        <x:v>5.9474115670013802E-2</x:v>
      </x:c>
      <x:c r="E22" s="92">
        <x:v>1.9049267624565061</x:v>
      </x:c>
      <x:c r="F22" s="92">
        <x:v>1.9644008781265199</x:v>
      </x:c>
      <x:c r="G22" s="92">
        <x:v>-0.24562748993307179</x:v>
      </x:c>
      <x:c r="H22" s="92">
        <x:v>0.67497143351192845</x:v>
      </x:c>
      <x:c r="I22" s="92">
        <x:v>0.42934394357885663</x:v>
      </x:c>
      <x:c r="J22" s="92">
        <x:v>0.37222766662540291</x:v>
      </x:c>
      <x:c r="K22" s="92">
        <x:v>-0.35859601448058359</x:v>
      </x:c>
      <x:c r="L22" s="92">
        <x:v>-1.9843071452327019</x:v>
      </x:c>
      <x:c r="M22" s="92">
        <x:v>-1.9706754930878825</x:v>
      </x:c>
      <x:c r="N22" s="92">
        <x:v>0.42306932861749402</x:v>
      </x:c>
      <x:c r="O22" s="102">
        <x:v>-4.6148113824717356</x:v>
      </x:c>
      <x:c r="P22" s="42"/>
    </x:row>
    <x:row r="23" s="3" customFormat="1" ht="27" customHeight="1">
      <x:c r="A23" s="81"/>
      <x:c r="B23" s="7" t="s">
        <x:v>88</x:v>
      </x:c>
      <x:c r="C23" s="93">
        <x:v>3.301836952261183</x:v>
      </x:c>
      <x:c r="D23" s="93">
        <x:v>-2.0944782632590471</x:v>
      </x:c>
      <x:c r="E23" s="93">
        <x:v>0.87215470334147804</x:v>
      </x:c>
      <x:c r="F23" s="93">
        <x:v>-1.222323559917569</x:v>
      </x:c>
      <x:c r="G23" s="93">
        <x:v>-0.1374657908535355</x:v>
      </x:c>
      <x:c r="H23" s="93">
        <x:v>2.0695451020801672</x:v>
      </x:c>
      <x:c r="I23" s="93">
        <x:v>1.9320793112266317</x:v>
      </x:c>
      <x:c r="J23" s="93">
        <x:v>8.8449285752491245E-3</x:v>
      </x:c>
      <x:c r="K23" s="93">
        <x:v>-2.3742175291786349E-2</x:v>
      </x:c>
      <x:c r="L23" s="93">
        <x:v>0.82555831149388637</x:v>
      </x:c>
      <x:c r="M23" s="93">
        <x:v>0.81066106477734912</x:v>
      </x:c>
      <x:c r="N23" s="93">
        <x:v>1.5204168160864118</x:v>
      </x:c>
      <x:c r="O23" s="101">
        <x:v>1.7814201361747719</x:v>
      </x:c>
      <x:c r="P23" s="42"/>
    </x:row>
    <x:row r="24" s="3" customFormat="1" ht="27" customHeight="1">
      <x:c r="A24" s="80"/>
      <x:c r="B24" s="22" t="s">
        <x:v>89</x:v>
      </x:c>
      <x:c r="C24" s="92">
        <x:v>2.907167496110219</x:v>
      </x:c>
      <x:c r="D24" s="92">
        <x:v>-0.22724132499997349</x:v>
      </x:c>
      <x:c r="E24" s="92">
        <x:v>1.1934146540673629</x:v>
      </x:c>
      <x:c r="F24" s="92">
        <x:v>0.9661733290673894</x:v>
      </x:c>
      <x:c r="G24" s="92">
        <x:v>-3.0451947410762418E-3</x:v>
      </x:c>
      <x:c r="H24" s="92">
        <x:v>0.1093854801560985</x:v>
      </x:c>
      <x:c r="I24" s="92">
        <x:v>0.10634028541502226</x:v>
      </x:c>
      <x:c r="J24" s="92">
        <x:v>3.1626256176858852E-2</x:v>
      </x:c>
      <x:c r="K24" s="92">
        <x:v>-0.33745476678521991</x:v>
      </x:c>
      <x:c r="L24" s="92">
        <x:v>1.596360651243669</x:v>
      </x:c>
      <x:c r="M24" s="92">
        <x:v>1.2905321406353081</x:v>
      </x:c>
      <x:c r="N24" s="92">
        <x:v>2.3630457551177195</x:v>
      </x:c>
      <x:c r="O24" s="102">
        <x:v>0.54412174099249944</x:v>
      </x:c>
      <x:c r="P24" s="42"/>
    </x:row>
    <x:row r="25" s="3" customFormat="1" ht="27" customHeight="1">
      <x:c r="A25" s="57"/>
      <x:c r="B25" s="58" t="s">
        <x:v>90</x:v>
      </x:c>
      <x:c r="C25" s="104">
        <x:v>0.20901759025938371</x:v>
      </x:c>
      <x:c r="D25" s="104">
        <x:v>-0.61841571834877773</x:v>
      </x:c>
      <x:c r="E25" s="104">
        <x:v>0.81352222207066793</x:v>
      </x:c>
      <x:c r="F25" s="104">
        <x:v>0.1951065037218902</x:v>
      </x:c>
      <x:c r="G25" s="104">
        <x:v>-3.2942128793007203E-2</x:v>
      </x:c>
      <x:c r="H25" s="104">
        <x:v>1.0931606460662959</x:v>
      </x:c>
      <x:c r="I25" s="104">
        <x:v>1.0602185172732888</x:v>
      </x:c>
      <x:c r="J25" s="105">
        <x:v>0.20963742551090281</x:v>
      </x:c>
      <x:c r="K25" s="105">
        <x:v>-0.99754946311675163</x:v>
      </x:c>
      <x:c r="L25" s="105">
        <x:v>0.30945804868325588</x:v>
      </x:c>
      <x:c r="M25" s="105">
        <x:v>-0.47845398892259294</x:v>
      </x:c>
      <x:c r="N25" s="105">
        <x:v>0.77687103207258601</x:v>
      </x:c>
      <x:c r="O25" s="106">
        <x:v>-0.56785344181320208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0852efdba4344dc3"/>
</x:worksheet>
</file>

<file path=xl/worksheets/sheet10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2010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0.56824835414994723</x:v>
      </x:c>
      <x:c r="D16" s="92">
        <x:v>-1.5693327678339419E-2</x:v>
      </x:c>
      <x:c r="E16" s="92">
        <x:v>0.72211687415700421</x:v>
      </x:c>
      <x:c r="F16" s="92">
        <x:v>0.70642354647866479</x:v>
      </x:c>
      <x:c r="G16" s="92">
        <x:v>-7.8750200400098738E-3</x:v>
      </x:c>
      <x:c r="H16" s="92">
        <x:v>0.96534645387575946</x:v>
      </x:c>
      <x:c r="I16" s="92">
        <x:v>0.95747143383574962</x:v>
      </x:c>
      <x:c r="J16" s="92">
        <x:v>0.20129236352269361</x:v>
      </x:c>
      <x:c r="K16" s="92">
        <x:v>-0.30493313994160942</x:v>
      </x:c>
      <x:c r="L16" s="92">
        <x:v>0.48562458070380221</x:v>
      </x:c>
      <x:c r="M16" s="92">
        <x:v>0.38198380428488643</x:v>
      </x:c>
      <x:c r="N16" s="92">
        <x:v>2.0458787845993012</x:v>
      </x:c>
      <x:c r="O16" s="154">
        <x:v>-1.4776304304493539</x:v>
      </x:c>
      <x:c r="P16" s="42"/>
    </x:row>
    <x:row r="17" s="3" customFormat="1" ht="27" customHeight="1">
      <x:c r="A17" s="81"/>
      <x:c r="B17" s="7" t="s">
        <x:v>82</x:v>
      </x:c>
      <x:c r="C17" s="93">
        <x:v>10.044437517805621</x:v>
      </x:c>
      <x:c r="D17" s="93">
        <x:v>1.3664019058649</x:v>
      </x:c>
      <x:c r="E17" s="93">
        <x:v>4.0642487454371441</x:v>
      </x:c>
      <x:c r="F17" s="93">
        <x:v>5.4306506513020443</x:v>
      </x:c>
      <x:c r="G17" s="93">
        <x:v>0.46097463318951731</x:v>
      </x:c>
      <x:c r="H17" s="93">
        <x:v>3.0662939034716952</x:v>
      </x:c>
      <x:c r="I17" s="93">
        <x:v>3.5272685366612127</x:v>
      </x:c>
      <x:c r="J17" s="93">
        <x:v>0.57288440633791393</x:v>
      </x:c>
      <x:c r="K17" s="93">
        <x:v>0.1771751114151589</x:v>
      </x:c>
      <x:c r="L17" s="93">
        <x:v>1.7732898207762271</x:v>
      </x:c>
      <x:c r="M17" s="93">
        <x:v>2.5233493385293002</x:v>
      </x:c>
      <x:c r="N17" s="93">
        <x:v>11.481268526492556</x:v>
      </x:c>
      <x:c r="O17" s="101">
        <x:v>-1.4368310086869409</x:v>
      </x:c>
      <x:c r="P17" s="42"/>
    </x:row>
    <x:row r="18" s="3" customFormat="1" ht="27" customHeight="1">
      <x:c r="A18" s="80"/>
      <x:c r="B18" s="22" t="s">
        <x:v>83</x:v>
      </x:c>
      <x:c r="C18" s="92">
        <x:v>2.402655258648156</x:v>
      </x:c>
      <x:c r="D18" s="92">
        <x:v>0.2120926755062772</x:v>
      </x:c>
      <x:c r="E18" s="92">
        <x:v>0.34400674216052152</x:v>
      </x:c>
      <x:c r="F18" s="92">
        <x:v>0.55609941766679871</x:v>
      </x:c>
      <x:c r="G18" s="92">
        <x:v>3.7710046653360429E-3</x:v>
      </x:c>
      <x:c r="H18" s="92">
        <x:v>1.1325508547790351</x:v>
      </x:c>
      <x:c r="I18" s="92">
        <x:v>1.1363218594443711</x:v>
      </x:c>
      <x:c r="J18" s="92">
        <x:v>0.45679827119366589</x:v>
      </x:c>
      <x:c r="K18" s="92">
        <x:v>1.269780749507992</x:v>
      </x:c>
      <x:c r="L18" s="92">
        <x:v>0.1175845655293081</x:v>
      </x:c>
      <x:c r="M18" s="92">
        <x:v>1.844163586230966</x:v>
      </x:c>
      <x:c r="N18" s="92">
        <x:v>3.536584863342136</x:v>
      </x:c>
      <x:c r="O18" s="102">
        <x:v>-1.13392960469398</x:v>
      </x:c>
      <x:c r="P18" s="42"/>
    </x:row>
    <x:row r="19" s="3" customFormat="1" ht="27" customHeight="1">
      <x:c r="A19" s="81"/>
      <x:c r="B19" s="7" t="s">
        <x:v>84</x:v>
      </x:c>
      <x:c r="C19" s="93">
        <x:v>1.611580278822089</x:v>
      </x:c>
      <x:c r="D19" s="93">
        <x:v>-7.1701850613005366E-3</x:v>
      </x:c>
      <x:c r="E19" s="93">
        <x:v>1.7513946224554811</x:v>
      </x:c>
      <x:c r="F19" s="93">
        <x:v>1.7442244373941804</x:v>
      </x:c>
      <x:c r="G19" s="93">
        <x:v>-3.110441601595809E-3</x:v>
      </x:c>
      <x:c r="H19" s="93">
        <x:v>1.8050015775092709</x:v>
      </x:c>
      <x:c r="I19" s="93">
        <x:v>1.801891135907675</x:v>
      </x:c>
      <x:c r="J19" s="93">
        <x:v>-0.50694225453021147</x:v>
      </x:c>
      <x:c r="K19" s="93">
        <x:v>9.2836048059196194E-2</x:v>
      </x:c>
      <x:c r="L19" s="93">
        <x:v>0.26130874606148369</x:v>
      </x:c>
      <x:c r="M19" s="93">
        <x:v>-0.15279746040953157</x:v>
      </x:c>
      <x:c r="N19" s="93">
        <x:v>3.3933181128923238</x:v>
      </x:c>
      <x:c r="O19" s="101">
        <x:v>-1.781737834070235</x:v>
      </x:c>
      <x:c r="P19" s="42"/>
    </x:row>
    <x:row r="20" s="3" customFormat="1" ht="27" customHeight="1">
      <x:c r="A20" s="80"/>
      <x:c r="B20" s="22" t="s">
        <x:v>85</x:v>
      </x:c>
      <x:c r="C20" s="92">
        <x:v>-1.397167747813288</x:v>
      </x:c>
      <x:c r="D20" s="92">
        <x:v>0.29424918152571039</x:v>
      </x:c>
      <x:c r="E20" s="92">
        <x:v>1.7105814689821759</x:v>
      </x:c>
      <x:c r="F20" s="92">
        <x:v>2.0048306505078863</x:v>
      </x:c>
      <x:c r="G20" s="92">
        <x:v>-5.7214811045939616E-3</x:v>
      </x:c>
      <x:c r="H20" s="92">
        <x:v>1.8064693731027659</x:v>
      </x:c>
      <x:c r="I20" s="92">
        <x:v>1.8007478919981719</x:v>
      </x:c>
      <x:c r="J20" s="92">
        <x:v>1.8897652354279211E-2</x:v>
      </x:c>
      <x:c r="K20" s="92">
        <x:v>-0.21152576476668219</x:v>
      </x:c>
      <x:c r="L20" s="92">
        <x:v>-0.96496788465579897</x:v>
      </x:c>
      <x:c r="M20" s="92">
        <x:v>-1.1575959970682019</x:v>
      </x:c>
      <x:c r="N20" s="92">
        <x:v>2.6479825454378565</x:v>
      </x:c>
      <x:c r="O20" s="102">
        <x:v>-4.0451502932511447</x:v>
      </x:c>
      <x:c r="P20" s="42"/>
    </x:row>
    <x:row r="21" s="3" customFormat="1" ht="27" customHeight="1">
      <x:c r="A21" s="81"/>
      <x:c r="B21" s="7" t="s">
        <x:v>86</x:v>
      </x:c>
      <x:c r="C21" s="93">
        <x:v>4.9248216267016254</x:v>
      </x:c>
      <x:c r="D21" s="93">
        <x:v>0.24148839747966891</x:v>
      </x:c>
      <x:c r="E21" s="93">
        <x:v>3.0671997005385858</x:v>
      </x:c>
      <x:c r="F21" s="93">
        <x:v>3.3086880980182549</x:v>
      </x:c>
      <x:c r="G21" s="93">
        <x:v>0</x:v>
      </x:c>
      <x:c r="H21" s="93">
        <x:v>0</x:v>
      </x:c>
      <x:c r="I21" s="93">
        <x:v>0</x:v>
      </x:c>
      <x:c r="J21" s="93">
        <x:v>3.2813347319391943E-2</x:v>
      </x:c>
      <x:c r="K21" s="93">
        <x:v>1.100528731522638</x:v>
      </x:c>
      <x:c r="L21" s="93">
        <x:v>1.085814969224443</x:v>
      </x:c>
      <x:c r="M21" s="93">
        <x:v>2.2191570480664726</x:v>
      </x:c>
      <x:c r="N21" s="93">
        <x:v>5.5278451460847275</x:v>
      </x:c>
      <x:c r="O21" s="101">
        <x:v>-0.60302351938310217</x:v>
      </x:c>
      <x:c r="P21" s="42"/>
    </x:row>
    <x:row r="22" s="3" customFormat="1" ht="27" customHeight="1">
      <x:c r="A22" s="80"/>
      <x:c r="B22" s="22" t="s">
        <x:v>87</x:v>
      </x:c>
      <x:c r="C22" s="92">
        <x:v>10.065835459384781</x:v>
      </x:c>
      <x:c r="D22" s="92">
        <x:v>0.47055963175384807</x:v>
      </x:c>
      <x:c r="E22" s="92">
        <x:v>2.735387617227155</x:v>
      </x:c>
      <x:c r="F22" s="92">
        <x:v>3.205947248981003</x:v>
      </x:c>
      <x:c r="G22" s="92">
        <x:v>-1.4630538805216E-2</x:v>
      </x:c>
      <x:c r="H22" s="92">
        <x:v>0.40219847512984419</x:v>
      </x:c>
      <x:c r="I22" s="92">
        <x:v>0.38756793632462821</x:v>
      </x:c>
      <x:c r="J22" s="92">
        <x:v>0.70116600274899932</x:v>
      </x:c>
      <x:c r="K22" s="92">
        <x:v>0.71549037349138067</x:v>
      </x:c>
      <x:c r="L22" s="92">
        <x:v>3.659819906566061</x:v>
      </x:c>
      <x:c r="M22" s="92">
        <x:v>5.0764762828064409</x:v>
      </x:c>
      <x:c r="N22" s="92">
        <x:v>8.6699914681120731</x:v>
      </x:c>
      <x:c r="O22" s="102">
        <x:v>1.3958439912727021</x:v>
      </x:c>
      <x:c r="P22" s="42"/>
    </x:row>
    <x:row r="23" s="3" customFormat="1" ht="27" customHeight="1">
      <x:c r="A23" s="81"/>
      <x:c r="B23" s="7" t="s">
        <x:v>88</x:v>
      </x:c>
      <x:c r="C23" s="93">
        <x:v>3.5988948442554398</x:v>
      </x:c>
      <x:c r="D23" s="93">
        <x:v>1.2096508036450031</x:v>
      </x:c>
      <x:c r="E23" s="93">
        <x:v>0.39576842382245842</x:v>
      </x:c>
      <x:c r="F23" s="93">
        <x:v>1.6054192274674615</x:v>
      </x:c>
      <x:c r="G23" s="93">
        <x:v>-5.9680330191682349E-3</x:v>
      </x:c>
      <x:c r="H23" s="93">
        <x:v>2.002105891527759</x:v>
      </x:c>
      <x:c r="I23" s="93">
        <x:v>1.9961378585085907</x:v>
      </x:c>
      <x:c r="J23" s="93">
        <x:v>8.6246555629779405E-4</x:v>
      </x:c>
      <x:c r="K23" s="93">
        <x:v>0.16689658057868181</x:v>
      </x:c>
      <x:c r="L23" s="93">
        <x:v>0.70509363100119304</x:v>
      </x:c>
      <x:c r="M23" s="93">
        <x:v>0.87285267713617265</x:v>
      </x:c>
      <x:c r="N23" s="93">
        <x:v>4.4744097631122246</x:v>
      </x:c>
      <x:c r="O23" s="101">
        <x:v>-0.87551491885678434</x:v>
      </x:c>
      <x:c r="P23" s="42"/>
    </x:row>
    <x:row r="24" s="3" customFormat="1" ht="27" customHeight="1">
      <x:c r="A24" s="80"/>
      <x:c r="B24" s="22" t="s">
        <x:v>89</x:v>
      </x:c>
      <x:c r="C24" s="92">
        <x:v>4.5177929583134713</x:v>
      </x:c>
      <x:c r="D24" s="92">
        <x:v>0.18958153861986121</x:v>
      </x:c>
      <x:c r="E24" s="92">
        <x:v>2.1988030455623289</x:v>
      </x:c>
      <x:c r="F24" s="92">
        <x:v>2.38838458418219</x:v>
      </x:c>
      <x:c r="G24" s="92">
        <x:v>0</x:v>
      </x:c>
      <x:c r="H24" s="92">
        <x:v>0</x:v>
      </x:c>
      <x:c r="I24" s="92">
        <x:v>0</x:v>
      </x:c>
      <x:c r="J24" s="92">
        <x:v>-1.4286196670669311E-3</x:v>
      </x:c>
      <x:c r="K24" s="92">
        <x:v>0.26514266727574431</x:v>
      </x:c>
      <x:c r="L24" s="92">
        <x:v>1.703194117130298</x:v>
      </x:c>
      <x:c r="M24" s="92">
        <x:v>1.9669081647389755</x:v>
      </x:c>
      <x:c r="N24" s="92">
        <x:v>4.3552927489211655</x:v>
      </x:c>
      <x:c r="O24" s="102">
        <x:v>0.16250020939230581</x:v>
      </x:c>
      <x:c r="P24" s="42"/>
    </x:row>
    <x:row r="25" s="3" customFormat="1" ht="27" customHeight="1">
      <x:c r="A25" s="25"/>
      <x:c r="B25" s="58" t="s">
        <x:v>90</x:v>
      </x:c>
      <x:c r="C25" s="104">
        <x:v>3.896883927467329</x:v>
      </x:c>
      <x:c r="D25" s="104">
        <x:v>0.44315772865824782</x:v>
      </x:c>
      <x:c r="E25" s="104">
        <x:v>1.601753867223763</x:v>
      </x:c>
      <x:c r="F25" s="104">
        <x:v>2.0449115958820108</x:v>
      </x:c>
      <x:c r="G25" s="104">
        <x:v>2.6863308371045919E-2</x:v>
      </x:c>
      <x:c r="H25" s="104">
        <x:v>1.0815969667179981</x:v>
      </x:c>
      <x:c r="I25" s="104">
        <x:v>1.108460275089044</x:v>
      </x:c>
      <x:c r="J25" s="105">
        <x:v>0.21066859555923009</x:v>
      </x:c>
      <x:c r="K25" s="105">
        <x:v>0.55078988553828467</x:v>
      </x:c>
      <x:c r="L25" s="105">
        <x:v>0.91163812854372328</x:v>
      </x:c>
      <x:c r="M25" s="105">
        <x:v>1.6730966096412381</x:v>
      </x:c>
      <x:c r="N25" s="105">
        <x:v>4.8264684806122933</x:v>
      </x:c>
      <x:c r="O25" s="106">
        <x:v>-0.92958455314496402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13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38304a1b40d445aa"/>
</x:worksheet>
</file>

<file path=xl/worksheets/sheet11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2011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2.219937027671826</x:v>
      </x:c>
      <x:c r="D16" s="92">
        <x:v>-0.22235824828279899</x:v>
      </x:c>
      <x:c r="E16" s="92">
        <x:v>-0.52908448800656593</x:v>
      </x:c>
      <x:c r="F16" s="92">
        <x:v>-0.75144273628936498</x:v>
      </x:c>
      <x:c r="G16" s="92">
        <x:v>7.9349080133643227E-3</x:v>
      </x:c>
      <x:c r="H16" s="92">
        <x:v>0.90080576196903561</x:v>
      </x:c>
      <x:c r="I16" s="92">
        <x:v>0.90874066998239988</x:v>
      </x:c>
      <x:c r="J16" s="92">
        <x:v>0.15977526668864259</x:v>
      </x:c>
      <x:c r="K16" s="92">
        <x:v>0.8890505935129932</x:v>
      </x:c>
      <x:c r="L16" s="92">
        <x:v>-3.5012974883432739E-2</x:v>
      </x:c>
      <x:c r="M16" s="92">
        <x:v>1.0138128853182031</x:v>
      </x:c>
      <x:c r="N16" s="92">
        <x:v>1.171110819011238</x:v>
      </x:c>
      <x:c r="O16" s="154">
        <x:v>1.048826208660588</x:v>
      </x:c>
      <x:c r="P16" s="42"/>
    </x:row>
    <x:row r="17" s="3" customFormat="1" ht="27" customHeight="1">
      <x:c r="A17" s="81"/>
      <x:c r="B17" s="7" t="s">
        <x:v>82</x:v>
      </x:c>
      <x:c r="C17" s="93">
        <x:v>13.14055991658751</x:v>
      </x:c>
      <x:c r="D17" s="93">
        <x:v>1.275931411994933</x:v>
      </x:c>
      <x:c r="E17" s="93">
        <x:v>1.8302586944598751</x:v>
      </x:c>
      <x:c r="F17" s="93">
        <x:v>3.1061901064548083</x:v>
      </x:c>
      <x:c r="G17" s="93">
        <x:v>0.15472059510583491</x:v>
      </x:c>
      <x:c r="H17" s="93">
        <x:v>6.0892696132623882</x:v>
      </x:c>
      <x:c r="I17" s="93">
        <x:v>6.2439902083682233</x:v>
      </x:c>
      <x:c r="J17" s="93">
        <x:v>0.83169135445432019</x:v>
      </x:c>
      <x:c r="K17" s="93">
        <x:v>0.13190819263366621</x:v>
      </x:c>
      <x:c r="L17" s="93">
        <x:v>2.152824927517119</x:v>
      </x:c>
      <x:c r="M17" s="93">
        <x:v>3.1164244746051053</x:v>
      </x:c>
      <x:c r="N17" s="93">
        <x:v>12.466604789428136</x:v>
      </x:c>
      <x:c r="O17" s="101">
        <x:v>0.67395512715937755</x:v>
      </x:c>
      <x:c r="P17" s="42"/>
    </x:row>
    <x:row r="18" s="3" customFormat="1" ht="27" customHeight="1">
      <x:c r="A18" s="80"/>
      <x:c r="B18" s="22" t="s">
        <x:v>83</x:v>
      </x:c>
      <x:c r="C18" s="92">
        <x:v>5.1062193221718566</x:v>
      </x:c>
      <x:c r="D18" s="92">
        <x:v>4.5191728761485278E-2</x:v>
      </x:c>
      <x:c r="E18" s="92">
        <x:v>0.83808302882870833</x:v>
      </x:c>
      <x:c r="F18" s="92">
        <x:v>0.88327475759019358</x:v>
      </x:c>
      <x:c r="G18" s="92">
        <x:v>7.6010654198994162E-3</x:v>
      </x:c>
      <x:c r="H18" s="92">
        <x:v>1.1836065021445641</x:v>
      </x:c>
      <x:c r="I18" s="92">
        <x:v>1.1912075675644636</x:v>
      </x:c>
      <x:c r="J18" s="92">
        <x:v>0.67848775725212673</x:v>
      </x:c>
      <x:c r="K18" s="92">
        <x:v>1.947303455811906</x:v>
      </x:c>
      <x:c r="L18" s="92">
        <x:v>0.7154240331423265</x:v>
      </x:c>
      <x:c r="M18" s="92">
        <x:v>3.3412152462063593</x:v>
      </x:c>
      <x:c r="N18" s="92">
        <x:v>5.415697571361016</x:v>
      </x:c>
      <x:c r="O18" s="102">
        <x:v>-0.30947824918916028</x:v>
      </x:c>
      <x:c r="P18" s="42"/>
    </x:row>
    <x:row r="19" s="3" customFormat="1" ht="27" customHeight="1">
      <x:c r="A19" s="81"/>
      <x:c r="B19" s="7" t="s">
        <x:v>84</x:v>
      </x:c>
      <x:c r="C19" s="93">
        <x:v>2.4776078011719882</x:v>
      </x:c>
      <x:c r="D19" s="93">
        <x:v>0.38648846433749151</x:v>
      </x:c>
      <x:c r="E19" s="93">
        <x:v>0.86591028903367695</x:v>
      </x:c>
      <x:c r="F19" s="93">
        <x:v>1.2523987533711685</x:v>
      </x:c>
      <x:c r="G19" s="93">
        <x:v>1.2857908660623351E-2</x:v>
      </x:c>
      <x:c r="H19" s="93">
        <x:v>2.0078342631296611</x:v>
      </x:c>
      <x:c r="I19" s="93">
        <x:v>2.0206921717902846</x:v>
      </x:c>
      <x:c r="J19" s="93">
        <x:v>0.82296774894253877</x:v>
      </x:c>
      <x:c r="K19" s="93">
        <x:v>0.1903037165205945</x:v>
      </x:c>
      <x:c r="L19" s="93">
        <x:v>7.7081759383474086E-2</x:v>
      </x:c>
      <x:c r="M19" s="93">
        <x:v>1.0903532248466072</x:v>
      </x:c>
      <x:c r="N19" s="93">
        <x:v>4.3634441500080605</x:v>
      </x:c>
      <x:c r="O19" s="101">
        <x:v>-1.885836348836071</x:v>
      </x:c>
      <x:c r="P19" s="42"/>
    </x:row>
    <x:row r="20" s="3" customFormat="1" ht="27" customHeight="1">
      <x:c r="A20" s="80"/>
      <x:c r="B20" s="22" t="s">
        <x:v>85</x:v>
      </x:c>
      <x:c r="C20" s="92">
        <x:v>8.0912960784164767</x:v>
      </x:c>
      <x:c r="D20" s="92">
        <x:v>1.222800761278166E-2</x:v>
      </x:c>
      <x:c r="E20" s="92">
        <x:v>1.8225450427974901</x:v>
      </x:c>
      <x:c r="F20" s="92">
        <x:v>1.8347730504102717</x:v>
      </x:c>
      <x:c r="G20" s="92">
        <x:v>1.020268180111086E-2</x:v>
      </x:c>
      <x:c r="H20" s="92">
        <x:v>2.166200215800195</x:v>
      </x:c>
      <x:c r="I20" s="92">
        <x:v>2.1764028976013057</x:v>
      </x:c>
      <x:c r="J20" s="92">
        <x:v>0.1116895928636588</x:v>
      </x:c>
      <x:c r="K20" s="92">
        <x:v>3.9541130560028028</x:v>
      </x:c>
      <x:c r="L20" s="92">
        <x:v>1.8121421812288629</x:v>
      </x:c>
      <x:c r="M20" s="92">
        <x:v>5.8779448300953243</x:v>
      </x:c>
      <x:c r="N20" s="92">
        <x:v>9.8891207781069017</x:v>
      </x:c>
      <x:c r="O20" s="102">
        <x:v>-1.797824699690425</x:v>
      </x:c>
      <x:c r="P20" s="42"/>
    </x:row>
    <x:row r="21" s="3" customFormat="1" ht="27" customHeight="1">
      <x:c r="A21" s="81"/>
      <x:c r="B21" s="7" t="s">
        <x:v>86</x:v>
      </x:c>
      <x:c r="C21" s="93">
        <x:v>6.5190476781815221</x:v>
      </x:c>
      <x:c r="D21" s="93">
        <x:v>-0.14605643935140669</x:v>
      </x:c>
      <x:c r="E21" s="93">
        <x:v>2.0638549526147441</x:v>
      </x:c>
      <x:c r="F21" s="93">
        <x:v>1.9177985132633373</x:v>
      </x:c>
      <x:c r="G21" s="93">
        <x:v>0</x:v>
      </x:c>
      <x:c r="H21" s="93">
        <x:v>0</x:v>
      </x:c>
      <x:c r="I21" s="93">
        <x:v>0</x:v>
      </x:c>
      <x:c r="J21" s="93">
        <x:v>0.1117374458801302</x:v>
      </x:c>
      <x:c r="K21" s="93">
        <x:v>0.74645747438596477</x:v>
      </x:c>
      <x:c r="L21" s="93">
        <x:v>2.1709405391245382</x:v>
      </x:c>
      <x:c r="M21" s="93">
        <x:v>3.0291354593906332</x:v>
      </x:c>
      <x:c r="N21" s="93">
        <x:v>4.9469339726539703</x:v>
      </x:c>
      <x:c r="O21" s="101">
        <x:v>1.572113705527552</x:v>
      </x:c>
      <x:c r="P21" s="42"/>
    </x:row>
    <x:row r="22" s="3" customFormat="1" ht="27" customHeight="1">
      <x:c r="A22" s="80"/>
      <x:c r="B22" s="22" t="s">
        <x:v>87</x:v>
      </x:c>
      <x:c r="C22" s="92">
        <x:v>9.0207740408927428</x:v>
      </x:c>
      <x:c r="D22" s="92">
        <x:v>0.12612580965315009</x:v>
      </x:c>
      <x:c r="E22" s="92">
        <x:v>1.0465490373102839</x:v>
      </x:c>
      <x:c r="F22" s="92">
        <x:v>1.172674846963434</x:v>
      </x:c>
      <x:c r="G22" s="92">
        <x:v>8.8922793327093103E-2</x:v>
      </x:c>
      <x:c r="H22" s="92">
        <x:v>0.53047771097176333</x:v>
      </x:c>
      <x:c r="I22" s="92">
        <x:v>0.6194005042988564</x:v>
      </x:c>
      <x:c r="J22" s="92">
        <x:v>1.0647549930932909</x:v>
      </x:c>
      <x:c r="K22" s="92">
        <x:v>0.25911194242578578</x:v>
      </x:c>
      <x:c r="L22" s="92">
        <x:v>3.540987893348968</x:v>
      </x:c>
      <x:c r="M22" s="92">
        <x:v>4.8648548288680447</x:v>
      </x:c>
      <x:c r="N22" s="92">
        <x:v>6.6569301801303356</x:v>
      </x:c>
      <x:c r="O22" s="102">
        <x:v>2.3638438607624082</x:v>
      </x:c>
      <x:c r="P22" s="42"/>
    </x:row>
    <x:row r="23" s="3" customFormat="1" ht="27" customHeight="1">
      <x:c r="A23" s="81"/>
      <x:c r="B23" s="7" t="s">
        <x:v>88</x:v>
      </x:c>
      <x:c r="C23" s="93">
        <x:v>6.5688478058145714</x:v>
      </x:c>
      <x:c r="D23" s="93">
        <x:v>-9.6896493057062827E-2</x:v>
      </x:c>
      <x:c r="E23" s="93">
        <x:v>2.4571863703085159</x:v>
      </x:c>
      <x:c r="F23" s="93">
        <x:v>2.3602898772514531</x:v>
      </x:c>
      <x:c r="G23" s="93">
        <x:v>8.7204435513309281E-2</x:v>
      </x:c>
      <x:c r="H23" s="93">
        <x:v>2.4485144290569201</x:v>
      </x:c>
      <x:c r="I23" s="93">
        <x:v>2.5357188645702293</x:v>
      </x:c>
      <x:c r="J23" s="93">
        <x:v>2.454740792463821E-2</x:v>
      </x:c>
      <x:c r="K23" s="93">
        <x:v>7.0938753859591586E-2</x:v>
      </x:c>
      <x:c r="L23" s="93">
        <x:v>2.2605389239137632</x:v>
      </x:c>
      <x:c r="M23" s="93">
        <x:v>2.356025085697993</x:v>
      </x:c>
      <x:c r="N23" s="93">
        <x:v>7.252033827519675</x:v>
      </x:c>
      <x:c r="O23" s="101">
        <x:v>-0.68318602170510445</x:v>
      </x:c>
      <x:c r="P23" s="42"/>
    </x:row>
    <x:row r="24" s="3" customFormat="1" ht="27" customHeight="1">
      <x:c r="A24" s="80"/>
      <x:c r="B24" s="22" t="s">
        <x:v>89</x:v>
      </x:c>
      <x:c r="C24" s="92">
        <x:v>4.6744536744646403</x:v>
      </x:c>
      <x:c r="D24" s="92">
        <x:v>0.73816192156907845</x:v>
      </x:c>
      <x:c r="E24" s="92">
        <x:v>1.3709416155429841</x:v>
      </x:c>
      <x:c r="F24" s="92">
        <x:v>2.1091035371120626</x:v>
      </x:c>
      <x:c r="G24" s="92">
        <x:v>0</x:v>
      </x:c>
      <x:c r="H24" s="92">
        <x:v>0</x:v>
      </x:c>
      <x:c r="I24" s="92">
        <x:v>0</x:v>
      </x:c>
      <x:c r="J24" s="92">
        <x:v>2.7313709505088851E-2</x:v>
      </x:c>
      <x:c r="K24" s="92">
        <x:v>0.17575861820823299</x:v>
      </x:c>
      <x:c r="L24" s="92">
        <x:v>1.2832690383374159</x:v>
      </x:c>
      <x:c r="M24" s="92">
        <x:v>1.4863413660507376</x:v>
      </x:c>
      <x:c r="N24" s="92">
        <x:v>3.5954449031628002</x:v>
      </x:c>
      <x:c r="O24" s="102">
        <x:v>1.0790087713018399</x:v>
      </x:c>
      <x:c r="P24" s="42"/>
    </x:row>
    <x:row r="25" s="3" customFormat="1" ht="27" customHeight="1">
      <x:c r="A25" s="57"/>
      <x:c r="B25" s="58" t="s">
        <x:v>90</x:v>
      </x:c>
      <x:c r="C25" s="104">
        <x:v>6.4001320435184716</x:v>
      </x:c>
      <x:c r="D25" s="104">
        <x:v>0.20038569163116829</x:v>
      </x:c>
      <x:c r="E25" s="104">
        <x:v>1.406823113915906</x:v>
      </x:c>
      <x:c r="F25" s="104">
        <x:v>1.6072088055470743</x:v>
      </x:c>
      <x:c r="G25" s="104">
        <x:v>3.6034202265757959E-2</x:v>
      </x:c>
      <x:c r="H25" s="104">
        <x:v>1.4654511719894741</x:v>
      </x:c>
      <x:c r="I25" s="104">
        <x:v>1.5014853742552321</x:v>
      </x:c>
      <x:c r="J25" s="105">
        <x:v>0.38904161792783731</x:v>
      </x:c>
      <x:c r="K25" s="105">
        <x:v>1.035439245260739</x:v>
      </x:c>
      <x:c r="L25" s="105">
        <x:v>1.5917083492889039</x:v>
      </x:c>
      <x:c r="M25" s="105">
        <x:v>3.0161892124774803</x:v>
      </x:c>
      <x:c r="N25" s="105">
        <x:v>6.124883392279787</x:v>
      </x:c>
      <x:c r="O25" s="106">
        <x:v>0.27524865123868458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0ab8f19e131942b6"/>
</x:worksheet>
</file>

<file path=xl/worksheets/sheet12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2012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2.4273117291809139</x:v>
      </x:c>
      <x:c r="D16" s="92">
        <x:v>-4.8353299354795279E-2</x:v>
      </x:c>
      <x:c r="E16" s="92">
        <x:v>-0.96876579441452537</x:v>
      </x:c>
      <x:c r="F16" s="92">
        <x:v>-1.0171190937693206</x:v>
      </x:c>
      <x:c r="G16" s="92">
        <x:v>7.5159744575894454E-3</x:v>
      </x:c>
      <x:c r="H16" s="92">
        <x:v>0.60681161519129156</x:v>
      </x:c>
      <x:c r="I16" s="92">
        <x:v>0.61432758964888101</x:v>
      </x:c>
      <x:c r="J16" s="92">
        <x:v>0.14970544319464241</x:v>
      </x:c>
      <x:c r="K16" s="92">
        <x:v>0.54550531799257296</x:v>
      </x:c>
      <x:c r="L16" s="92">
        <x:v>0.18282818576193749</x:v>
      </x:c>
      <x:c r="M16" s="92">
        <x:v>0.87803894694915285</x:v>
      </x:c>
      <x:c r="N16" s="92">
        <x:v>0.47524744282871323</x:v>
      </x:c>
      <x:c r="O16" s="154">
        <x:v>1.9520642863522011</x:v>
      </x:c>
      <x:c r="P16" s="42"/>
    </x:row>
    <x:row r="17" s="3" customFormat="1" ht="27" customHeight="1">
      <x:c r="A17" s="81"/>
      <x:c r="B17" s="7" t="s">
        <x:v>82</x:v>
      </x:c>
      <x:c r="C17" s="93">
        <x:v>4.4294164641875966</x:v>
      </x:c>
      <x:c r="D17" s="93">
        <x:v>-0.86617198549686192</x:v>
      </x:c>
      <x:c r="E17" s="93">
        <x:v>-0.63397895604954757</x:v>
      </x:c>
      <x:c r="F17" s="93">
        <x:v>-1.5001509415464094</x:v>
      </x:c>
      <x:c r="G17" s="93">
        <x:v>0.38188405277160281</x:v>
      </x:c>
      <x:c r="H17" s="93">
        <x:v>5.5153625040117422</x:v>
      </x:c>
      <x:c r="I17" s="93">
        <x:v>5.8972465567833448</x:v>
      </x:c>
      <x:c r="J17" s="93">
        <x:v>0.21168033918404869</x:v>
      </x:c>
      <x:c r="K17" s="93">
        <x:v>-3.235364239063889E-3</x:v>
      </x:c>
      <x:c r="L17" s="93">
        <x:v>0.27142635082055422</x:v>
      </x:c>
      <x:c r="M17" s="93">
        <x:v>0.47987132576553904</x:v>
      </x:c>
      <x:c r="N17" s="93">
        <x:v>4.8769669410024745</x:v>
      </x:c>
      <x:c r="O17" s="101">
        <x:v>-0.44755047681487697</x:v>
      </x:c>
      <x:c r="P17" s="42"/>
    </x:row>
    <x:row r="18" s="3" customFormat="1" ht="27" customHeight="1">
      <x:c r="A18" s="80"/>
      <x:c r="B18" s="22" t="s">
        <x:v>83</x:v>
      </x:c>
      <x:c r="C18" s="92">
        <x:v>0.34084117081079057</x:v>
      </x:c>
      <x:c r="D18" s="92">
        <x:v>-3.9358933942286428E-2</x:v>
      </x:c>
      <x:c r="E18" s="92">
        <x:v>7.1868166208832962E-2</x:v>
      </x:c>
      <x:c r="F18" s="92">
        <x:v>3.2509232266546534E-2</x:v>
      </x:c>
      <x:c r="G18" s="92">
        <x:v>9.9388342904028048E-3</x:v>
      </x:c>
      <x:c r="H18" s="92">
        <x:v>1.146969325880151</x:v>
      </x:c>
      <x:c r="I18" s="92">
        <x:v>1.1569081601705538</x:v>
      </x:c>
      <x:c r="J18" s="92">
        <x:v>9.5156954037624517E-3</x:v>
      </x:c>
      <x:c r="K18" s="92">
        <x:v>-9.5963264420791412E-3</x:v>
      </x:c>
      <x:c r="L18" s="92">
        <x:v>1.9656146224231261E-2</x:v>
      </x:c>
      <x:c r="M18" s="92">
        <x:v>1.957551518591457E-2</x:v>
      </x:c>
      <x:c r="N18" s="92">
        <x:v>1.2089929076230148</x:v>
      </x:c>
      <x:c r="O18" s="102">
        <x:v>-0.86815173681222446</x:v>
      </x:c>
      <x:c r="P18" s="42"/>
    </x:row>
    <x:row r="19" s="3" customFormat="1" ht="27" customHeight="1">
      <x:c r="A19" s="81"/>
      <x:c r="B19" s="7" t="s">
        <x:v>84</x:v>
      </x:c>
      <x:c r="C19" s="93">
        <x:v>2.9735309169899078</x:v>
      </x:c>
      <x:c r="D19" s="93">
        <x:v>-6.8035361941123834E-2</x:v>
      </x:c>
      <x:c r="E19" s="93">
        <x:v>-0.1612472888275597</x:v>
      </x:c>
      <x:c r="F19" s="93">
        <x:v>-0.22928265076868354</x:v>
      </x:c>
      <x:c r="G19" s="93">
        <x:v>1.166568221422304E-2</x:v>
      </x:c>
      <x:c r="H19" s="93">
        <x:v>2.0059051863600321</x:v>
      </x:c>
      <x:c r="I19" s="93">
        <x:v>2.0175708685742553</x:v>
      </x:c>
      <x:c r="J19" s="93">
        <x:v>1.9735579823300831</x:v>
      </x:c>
      <x:c r="K19" s="93">
        <x:v>0.177880140479799</x:v>
      </x:c>
      <x:c r="L19" s="93">
        <x:v>-0.31317447693986511</x:v>
      </x:c>
      <x:c r="M19" s="93">
        <x:v>1.838263645870017</x:v>
      </x:c>
      <x:c r="N19" s="93">
        <x:v>3.6265518636755889</x:v>
      </x:c>
      <x:c r="O19" s="101">
        <x:v>-0.65302094668568067</x:v>
      </x:c>
      <x:c r="P19" s="42"/>
    </x:row>
    <x:row r="20" s="3" customFormat="1" ht="27" customHeight="1">
      <x:c r="A20" s="80"/>
      <x:c r="B20" s="22" t="s">
        <x:v>85</x:v>
      </x:c>
      <x:c r="C20" s="92">
        <x:v>4.5514963402810693</x:v>
      </x:c>
      <x:c r="D20" s="92">
        <x:v>4.290089750130658E-2</x:v>
      </x:c>
      <x:c r="E20" s="92">
        <x:v>1.2802155532572339</x:v>
      </x:c>
      <x:c r="F20" s="92">
        <x:v>1.3231164507585405</x:v>
      </x:c>
      <x:c r="G20" s="92">
        <x:v>8.8387564774840086E-3</x:v>
      </x:c>
      <x:c r="H20" s="92">
        <x:v>2.3816762492027119</x:v>
      </x:c>
      <x:c r="I20" s="92">
        <x:v>2.390515005680196</x:v>
      </x:c>
      <x:c r="J20" s="92">
        <x:v>4.8745901351979898E-2</x:v>
      </x:c>
      <x:c r="K20" s="92">
        <x:v>1.929888498441328</x:v>
      </x:c>
      <x:c r="L20" s="92">
        <x:v>0.44631635988918278</x:v>
      </x:c>
      <x:c r="M20" s="92">
        <x:v>2.4249507596824906</x:v>
      </x:c>
      <x:c r="N20" s="92">
        <x:v>6.1385822161212271</x:v>
      </x:c>
      <x:c r="O20" s="102">
        <x:v>-1.587085875840158</x:v>
      </x:c>
      <x:c r="P20" s="42"/>
    </x:row>
    <x:row r="21" s="3" customFormat="1" ht="27" customHeight="1">
      <x:c r="A21" s="81"/>
      <x:c r="B21" s="7" t="s">
        <x:v>86</x:v>
      </x:c>
      <x:c r="C21" s="93">
        <x:v>3.6496086612260998</x:v>
      </x:c>
      <x:c r="D21" s="93">
        <x:v>-0.1069205877634853</x:v>
      </x:c>
      <x:c r="E21" s="93">
        <x:v>1.4911701240598481</x:v>
      </x:c>
      <x:c r="F21" s="93">
        <x:v>1.3842495362963627</x:v>
      </x:c>
      <x:c r="G21" s="93">
        <x:v>0</x:v>
      </x:c>
      <x:c r="H21" s="93">
        <x:v>0</x:v>
      </x:c>
      <x:c r="I21" s="93">
        <x:v>0</x:v>
      </x:c>
      <x:c r="J21" s="93">
        <x:v>0.1057437171430049</x:v>
      </x:c>
      <x:c r="K21" s="93">
        <x:v>0.20081736953145221</x:v>
      </x:c>
      <x:c r="L21" s="93">
        <x:v>1.3643568180536889</x:v>
      </x:c>
      <x:c r="M21" s="93">
        <x:v>1.6709179047281459</x:v>
      </x:c>
      <x:c r="N21" s="93">
        <x:v>3.0551674410245084</x:v>
      </x:c>
      <x:c r="O21" s="101">
        <x:v>0.59444122020159185</x:v>
      </x:c>
      <x:c r="P21" s="42"/>
    </x:row>
    <x:row r="22" s="3" customFormat="1" ht="27" customHeight="1">
      <x:c r="A22" s="80"/>
      <x:c r="B22" s="22" t="s">
        <x:v>87</x:v>
      </x:c>
      <x:c r="C22" s="92">
        <x:v>2.4147081558615109</x:v>
      </x:c>
      <x:c r="D22" s="92">
        <x:v>-2.71075418456002E-2</x:v>
      </x:c>
      <x:c r="E22" s="92">
        <x:v>1.0885040587478381</x:v>
      </x:c>
      <x:c r="F22" s="92">
        <x:v>1.0613965169022379</x:v>
      </x:c>
      <x:c r="G22" s="92">
        <x:v>0.1313716814516693</x:v>
      </x:c>
      <x:c r="H22" s="92">
        <x:v>0.27292029205110102</x:v>
      </x:c>
      <x:c r="I22" s="92">
        <x:v>0.40429197350277035</x:v>
      </x:c>
      <x:c r="J22" s="92">
        <x:v>0.63911783427573265</x:v>
      </x:c>
      <x:c r="K22" s="92">
        <x:v>8.1866109190650946E-2</x:v>
      </x:c>
      <x:c r="L22" s="92">
        <x:v>0.22615855161959969</x:v>
      </x:c>
      <x:c r="M22" s="92">
        <x:v>0.94714249508598325</x:v>
      </x:c>
      <x:c r="N22" s="92">
        <x:v>2.4128309854909915</x:v>
      </x:c>
      <x:c r="O22" s="102">
        <x:v>1.877170370519821E-3</x:v>
      </x:c>
      <x:c r="P22" s="42"/>
    </x:row>
    <x:row r="23" s="3" customFormat="1" ht="27" customHeight="1">
      <x:c r="A23" s="81"/>
      <x:c r="B23" s="7" t="s">
        <x:v>88</x:v>
      </x:c>
      <x:c r="C23" s="93">
        <x:v>5.1009548418302408</x:v>
      </x:c>
      <x:c r="D23" s="93">
        <x:v>-0.78225012988360876</x:v>
      </x:c>
      <x:c r="E23" s="93">
        <x:v>2.5867979509114951</x:v>
      </x:c>
      <x:c r="F23" s="93">
        <x:v>1.8045478210278865</x:v>
      </x:c>
      <x:c r="G23" s="93">
        <x:v>0.13730035274746399</x:v>
      </x:c>
      <x:c r="H23" s="93">
        <x:v>2.2623167901007251</x:v>
      </x:c>
      <x:c r="I23" s="93">
        <x:v>2.3996171428481889</x:v>
      </x:c>
      <x:c r="J23" s="93">
        <x:v>2.8289231380063069E-2</x:v>
      </x:c>
      <x:c r="K23" s="93">
        <x:v>4.0095573109626838E-2</x:v>
      </x:c>
      <x:c r="L23" s="93">
        <x:v>1.722791412055791</x:v>
      </x:c>
      <x:c r="M23" s="93">
        <x:v>1.791176216545481</x:v>
      </x:c>
      <x:c r="N23" s="93">
        <x:v>5.9953411804215566</x:v>
      </x:c>
      <x:c r="O23" s="101">
        <x:v>-0.89438633859131489</x:v>
      </x:c>
      <x:c r="P23" s="42"/>
    </x:row>
    <x:row r="24" s="3" customFormat="1" ht="27" customHeight="1">
      <x:c r="A24" s="80"/>
      <x:c r="B24" s="22" t="s">
        <x:v>89</x:v>
      </x:c>
      <x:c r="C24" s="92">
        <x:v>5.5093434411089603</x:v>
      </x:c>
      <x:c r="D24" s="92">
        <x:v>0.71856161436109156</x:v>
      </x:c>
      <x:c r="E24" s="92">
        <x:v>0.61744535457394778</x:v>
      </x:c>
      <x:c r="F24" s="92">
        <x:v>1.3360069689350393</x:v>
      </x:c>
      <x:c r="G24" s="92">
        <x:v>6.6046542576528187E-17</x:v>
      </x:c>
      <x:c r="H24" s="92">
        <x:v>5.0557412519447876E-16</x:v>
      </x:c>
      <x:c r="I24" s="92">
        <x:v>5.7162066777100694E-16</x:v>
      </x:c>
      <x:c r="J24" s="92">
        <x:v>8.7698426370392185E-2</x:v>
      </x:c>
      <x:c r="K24" s="92">
        <x:v>8.780369582167627E-2</x:v>
      </x:c>
      <x:c r="L24" s="92">
        <x:v>2.6005128732168949</x:v>
      </x:c>
      <x:c r="M24" s="92">
        <x:v>2.7760149954089632</x:v>
      </x:c>
      <x:c r="N24" s="92">
        <x:v>4.1120219643440032</x:v>
      </x:c>
      <x:c r="O24" s="102">
        <x:v>1.3973214767649571</x:v>
      </x:c>
      <x:c r="P24" s="42"/>
    </x:row>
    <x:row r="25" s="3" customFormat="1" ht="27" customHeight="1">
      <x:c r="A25" s="57"/>
      <x:c r="B25" s="58" t="s">
        <x:v>90</x:v>
      </x:c>
      <x:c r="C25" s="104">
        <x:v>3.2943194226603012</x:v>
      </x:c>
      <x:c r="D25" s="104">
        <x:v>-0.10690794592683479</x:v>
      </x:c>
      <x:c r="E25" s="104">
        <x:v>0.76032310757201438</x:v>
      </x:c>
      <x:c r="F25" s="104">
        <x:v>0.65341516164517954</x:v>
      </x:c>
      <x:c r="G25" s="104">
        <x:v>6.8149688090924324E-2</x:v>
      </x:c>
      <x:c r="H25" s="104">
        <x:v>1.4109953190045079</x:v>
      </x:c>
      <x:c r="I25" s="104">
        <x:v>1.4791450070954322</x:v>
      </x:c>
      <x:c r="J25" s="105">
        <x:v>0.17856030214747221</x:v>
      </x:c>
      <x:c r="K25" s="105">
        <x:v>0.25422541447519459</x:v>
      </x:c>
      <x:c r="L25" s="105">
        <x:v>0.88694850664338698</x:v>
      </x:c>
      <x:c r="M25" s="105">
        <x:v>1.3197342232660538</x:v>
      </x:c>
      <x:c r="N25" s="105">
        <x:v>3.4522943920066655</x:v>
      </x:c>
      <x:c r="O25" s="106">
        <x:v>-0.15797496934636421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f2d5117f4c774c15"/>
</x:worksheet>
</file>

<file path=xl/worksheets/sheet13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2013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5.9319892921722683</x:v>
      </x:c>
      <x:c r="D16" s="92">
        <x:v>9.9902921141062709E-2</x:v>
      </x:c>
      <x:c r="E16" s="92">
        <x:v>-0.50722981938242739</x:v>
      </x:c>
      <x:c r="F16" s="92">
        <x:v>-0.4073268982413647</x:v>
      </x:c>
      <x:c r="G16" s="92">
        <x:v>8.2214758450910672E-3</x:v>
      </x:c>
      <x:c r="H16" s="92">
        <x:v>0.66414516276988467</x:v>
      </x:c>
      <x:c r="I16" s="92">
        <x:v>0.6723666386149757</x:v>
      </x:c>
      <x:c r="J16" s="92">
        <x:v>0.1164859995099157</x:v>
      </x:c>
      <x:c r="K16" s="92">
        <x:v>1.148592351030322</x:v>
      </x:c>
      <x:c r="L16" s="92">
        <x:v>0.20418989132728529</x:v>
      </x:c>
      <x:c r="M16" s="92">
        <x:v>1.4692682418675229</x:v>
      </x:c>
      <x:c r="N16" s="92">
        <x:v>1.734307982241134</x:v>
      </x:c>
      <x:c r="O16" s="154">
        <x:v>4.1976813099311343</x:v>
      </x:c>
      <x:c r="P16" s="42"/>
    </x:row>
    <x:row r="17" s="3" customFormat="1" ht="27" customHeight="1">
      <x:c r="A17" s="81"/>
      <x:c r="B17" s="7" t="s">
        <x:v>82</x:v>
      </x:c>
      <x:c r="C17" s="93">
        <x:v>3.9267845807372299</x:v>
      </x:c>
      <x:c r="D17" s="93">
        <x:v>1.3110199175437589</x:v>
      </x:c>
      <x:c r="E17" s="93">
        <x:v>-0.8658546021068676</x:v>
      </x:c>
      <x:c r="F17" s="93">
        <x:v>0.44516531543689131</x:v>
      </x:c>
      <x:c r="G17" s="93">
        <x:v>0.47276455879809742</x:v>
      </x:c>
      <x:c r="H17" s="93">
        <x:v>4.9903376587048944</x:v>
      </x:c>
      <x:c r="I17" s="93">
        <x:v>5.4631022175029917</x:v>
      </x:c>
      <x:c r="J17" s="93">
        <x:v>0.1502439506517888</x:v>
      </x:c>
      <x:c r="K17" s="93">
        <x:v>-1.5427238663688459E-2</x:v>
      </x:c>
      <x:c r="L17" s="93">
        <x:v>-0.1004360130277752</x:v>
      </x:c>
      <x:c r="M17" s="93">
        <x:v>3.4380698960325154E-2</x:v>
      </x:c>
      <x:c r="N17" s="93">
        <x:v>5.9426482319002076</x:v>
      </x:c>
      <x:c r="O17" s="101">
        <x:v>-2.0158636511629768</x:v>
      </x:c>
      <x:c r="P17" s="42"/>
    </x:row>
    <x:row r="18" s="3" customFormat="1" ht="27" customHeight="1">
      <x:c r="A18" s="80"/>
      <x:c r="B18" s="22" t="s">
        <x:v>83</x:v>
      </x:c>
      <x:c r="C18" s="92">
        <x:v>1.5401741558576989</x:v>
      </x:c>
      <x:c r="D18" s="92">
        <x:v>0.48199345903280422</x:v>
      </x:c>
      <x:c r="E18" s="92">
        <x:v>-0.71881968681761554</x:v>
      </x:c>
      <x:c r="F18" s="92">
        <x:v>-0.23682622778481133</x:v>
      </x:c>
      <x:c r="G18" s="92">
        <x:v>1.7623876531852121E-2</x:v>
      </x:c>
      <x:c r="H18" s="92">
        <x:v>1.121708690143649</x:v>
      </x:c>
      <x:c r="I18" s="92">
        <x:v>1.1393325666755012</x:v>
      </x:c>
      <x:c r="J18" s="92">
        <x:v>0.52404426863110987</x:v>
      </x:c>
      <x:c r="K18" s="92">
        <x:v>0.23250709974381939</x:v>
      </x:c>
      <x:c r="L18" s="92">
        <x:v>0.24695684148248509</x:v>
      </x:c>
      <x:c r="M18" s="92">
        <x:v>1.0035082098574142</x:v>
      </x:c>
      <x:c r="N18" s="92">
        <x:v>1.9060145487481042</x:v>
      </x:c>
      <x:c r="O18" s="102">
        <x:v>-0.36584039289040549</x:v>
      </x:c>
      <x:c r="P18" s="42"/>
    </x:row>
    <x:row r="19" s="3" customFormat="1" ht="27" customHeight="1">
      <x:c r="A19" s="81"/>
      <x:c r="B19" s="7" t="s">
        <x:v>84</x:v>
      </x:c>
      <x:c r="C19" s="93">
        <x:v>3.7719827945946531</x:v>
      </x:c>
      <x:c r="D19" s="93">
        <x:v>-7.7535752095342372E-2</x:v>
      </x:c>
      <x:c r="E19" s="93">
        <x:v>3.5282396085034229E-3</x:v>
      </x:c>
      <x:c r="F19" s="93">
        <x:v>-7.4007512486838956E-2</x:v>
      </x:c>
      <x:c r="G19" s="93">
        <x:v>1.742237607978224E-2</x:v>
      </x:c>
      <x:c r="H19" s="93">
        <x:v>1.998650091114915</x:v>
      </x:c>
      <x:c r="I19" s="93">
        <x:v>2.016072467194697</x:v>
      </x:c>
      <x:c r="J19" s="93">
        <x:v>2.4762928510769422</x:v>
      </x:c>
      <x:c r="K19" s="93">
        <x:v>-5.0453953079670537E-2</x:v>
      </x:c>
      <x:c r="L19" s="93">
        <x:v>-0.36270529390888512</x:v>
      </x:c>
      <x:c r="M19" s="93">
        <x:v>2.0631336040883865</x:v>
      </x:c>
      <x:c r="N19" s="93">
        <x:v>4.0051985587962449</x:v>
      </x:c>
      <x:c r="O19" s="101">
        <x:v>-0.23321576420159221</x:v>
      </x:c>
      <x:c r="P19" s="42"/>
    </x:row>
    <x:row r="20" s="3" customFormat="1" ht="27" customHeight="1">
      <x:c r="A20" s="80"/>
      <x:c r="B20" s="22" t="s">
        <x:v>85</x:v>
      </x:c>
      <x:c r="C20" s="92">
        <x:v>9.6170571444964992</x:v>
      </x:c>
      <x:c r="D20" s="92">
        <x:v>1.1228037557415541E-2</x:v>
      </x:c>
      <x:c r="E20" s="92">
        <x:v>-0.4307920832509653</x:v>
      </x:c>
      <x:c r="F20" s="92">
        <x:v>-0.41956404569354977</x:v>
      </x:c>
      <x:c r="G20" s="92">
        <x:v>6.6587040118106294E-3</x:v>
      </x:c>
      <x:c r="H20" s="92">
        <x:v>1.819616474127953</x:v>
      </x:c>
      <x:c r="I20" s="92">
        <x:v>1.8262751781397637</x:v>
      </x:c>
      <x:c r="J20" s="92">
        <x:v>8.5066529429288343E-2</x:v>
      </x:c>
      <x:c r="K20" s="92">
        <x:v>3.046402901780314</x:v>
      </x:c>
      <x:c r="L20" s="92">
        <x:v>2.334232984153263</x:v>
      </x:c>
      <x:c r="M20" s="92">
        <x:v>5.4657024153628653</x:v>
      </x:c>
      <x:c r="N20" s="92">
        <x:v>6.8724135478090798</x:v>
      </x:c>
      <x:c r="O20" s="102">
        <x:v>2.7446435966874199</x:v>
      </x:c>
      <x:c r="P20" s="42"/>
    </x:row>
    <x:row r="21" s="3" customFormat="1" ht="27" customHeight="1">
      <x:c r="A21" s="81"/>
      <x:c r="B21" s="7" t="s">
        <x:v>86</x:v>
      </x:c>
      <x:c r="C21" s="93">
        <x:v>4.1864574980747804</x:v>
      </x:c>
      <x:c r="D21" s="93">
        <x:v>0.2830654850975311</x:v>
      </x:c>
      <x:c r="E21" s="93">
        <x:v>0.93633965609868464</x:v>
      </x:c>
      <x:c r="F21" s="93">
        <x:v>1.2194051411962157</x:v>
      </x:c>
      <x:c r="G21" s="93">
        <x:v>0</x:v>
      </x:c>
      <x:c r="H21" s="93">
        <x:v>0</x:v>
      </x:c>
      <x:c r="I21" s="93">
        <x:v>0</x:v>
      </x:c>
      <x:c r="J21" s="93">
        <x:v>4.5555167519434211E-2</x:v>
      </x:c>
      <x:c r="K21" s="93">
        <x:v>0.43303263343970499</x:v>
      </x:c>
      <x:c r="L21" s="93">
        <x:v>1.0564206245817149</x:v>
      </x:c>
      <x:c r="M21" s="93">
        <x:v>1.535008425540854</x:v>
      </x:c>
      <x:c r="N21" s="93">
        <x:v>2.7544135667370697</x:v>
      </x:c>
      <x:c r="O21" s="101">
        <x:v>1.4320439313377109</x:v>
      </x:c>
      <x:c r="P21" s="42"/>
    </x:row>
    <x:row r="22" s="3" customFormat="1" ht="27" customHeight="1">
      <x:c r="A22" s="80"/>
      <x:c r="B22" s="22" t="s">
        <x:v>87</x:v>
      </x:c>
      <x:c r="C22" s="92">
        <x:v>5.3687285038472874</x:v>
      </x:c>
      <x:c r="D22" s="92">
        <x:v>0.27421650681119247</x:v>
      </x:c>
      <x:c r="E22" s="92">
        <x:v>-0.9450969890064006</x:v>
      </x:c>
      <x:c r="F22" s="92">
        <x:v>-0.67088048219520813</x:v>
      </x:c>
      <x:c r="G22" s="92">
        <x:v>0.22864612222916081</x:v>
      </x:c>
      <x:c r="H22" s="92">
        <x:v>0.33549329560056762</x:v>
      </x:c>
      <x:c r="I22" s="92">
        <x:v>0.56413941782972843</x:v>
      </x:c>
      <x:c r="J22" s="92">
        <x:v>0.47427258945065248</x:v>
      </x:c>
      <x:c r="K22" s="92">
        <x:v>-5.4369865378348627E-2</x:v>
      </x:c>
      <x:c r="L22" s="92">
        <x:v>1.9693786325401439</x:v>
      </x:c>
      <x:c r="M22" s="92">
        <x:v>2.3892813566124476</x:v>
      </x:c>
      <x:c r="N22" s="92">
        <x:v>2.282540292246968</x:v>
      </x:c>
      <x:c r="O22" s="102">
        <x:v>3.086188211600319</x:v>
      </x:c>
      <x:c r="P22" s="42"/>
    </x:row>
    <x:row r="23" s="3" customFormat="1" ht="27" customHeight="1">
      <x:c r="A23" s="81"/>
      <x:c r="B23" s="7" t="s">
        <x:v>88</x:v>
      </x:c>
      <x:c r="C23" s="93">
        <x:v>4.9225082361293637</x:v>
      </x:c>
      <x:c r="D23" s="93">
        <x:v>0.9041935519063542</x:v>
      </x:c>
      <x:c r="E23" s="93">
        <x:v>2.3687228898739239</x:v>
      </x:c>
      <x:c r="F23" s="93">
        <x:v>3.2729164417802781</x:v>
      </x:c>
      <x:c r="G23" s="93">
        <x:v>0.19640095306923991</x:v>
      </x:c>
      <x:c r="H23" s="93">
        <x:v>2.194056330052272</x:v>
      </x:c>
      <x:c r="I23" s="93">
        <x:v>2.3904572831215121</x:v>
      </x:c>
      <x:c r="J23" s="93">
        <x:v>5.78311634297964E-3</x:v>
      </x:c>
      <x:c r="K23" s="93">
        <x:v>3.8661336630904349E-3</x:v>
      </x:c>
      <x:c r="L23" s="93">
        <x:v>1.1733365662798041</x:v>
      </x:c>
      <x:c r="M23" s="93">
        <x:v>1.1829858162858742</x:v>
      </x:c>
      <x:c r="N23" s="93">
        <x:v>6.846359541187665</x:v>
      </x:c>
      <x:c r="O23" s="101">
        <x:v>-1.923851305058301</x:v>
      </x:c>
      <x:c r="P23" s="42"/>
    </x:row>
    <x:row r="24" s="3" customFormat="1" ht="27" customHeight="1">
      <x:c r="A24" s="80"/>
      <x:c r="B24" s="22" t="s">
        <x:v>89</x:v>
      </x:c>
      <x:c r="C24" s="92">
        <x:v>6.873471363057071</x:v>
      </x:c>
      <x:c r="D24" s="92">
        <x:v>1.5050558938502201</x:v>
      </x:c>
      <x:c r="E24" s="92">
        <x:v>1.8810425531257129</x:v>
      </x:c>
      <x:c r="F24" s="92">
        <x:v>3.3860984469759332</x:v>
      </x:c>
      <x:c r="G24" s="92">
        <x:v>5.5626271347975104E-17</x:v>
      </x:c>
      <x:c r="H24" s="92">
        <x:v>7.9219445269386577E-16</x:v>
      </x:c>
      <x:c r="I24" s="92">
        <x:v>8.4782072404184087E-16</x:v>
      </x:c>
      <x:c r="J24" s="92">
        <x:v>8.4429475936560944E-2</x:v>
      </x:c>
      <x:c r="K24" s="92">
        <x:v>0.16902948403182949</x:v>
      </x:c>
      <x:c r="L24" s="92">
        <x:v>3.5899493477348239</x:v>
      </x:c>
      <x:c r="M24" s="92">
        <x:v>3.8434083077032142</x:v>
      </x:c>
      <x:c r="N24" s="92">
        <x:v>7.2295067546791483</x:v>
      </x:c>
      <x:c r="O24" s="102">
        <x:v>-0.35603539162207731</x:v>
      </x:c>
      <x:c r="P24" s="42"/>
    </x:row>
    <x:row r="25" s="3" customFormat="1" ht="27" customHeight="1">
      <x:c r="A25" s="57"/>
      <x:c r="B25" s="58" t="s">
        <x:v>90</x:v>
      </x:c>
      <x:c r="C25" s="104">
        <x:v>4.7632386236857549</x:v>
      </x:c>
      <x:c r="D25" s="104">
        <x:v>0.64877294600183166</x:v>
      </x:c>
      <x:c r="E25" s="104">
        <x:v>0.3632075280787222</x:v>
      </x:c>
      <x:c r="F25" s="104">
        <x:v>1.0119804740805538</x:v>
      </x:c>
      <x:c r="G25" s="104">
        <x:v>9.4923592079601118E-2</x:v>
      </x:c>
      <x:c r="H25" s="104">
        <x:v>1.3062595572378199</x:v>
      </x:c>
      <x:c r="I25" s="104">
        <x:v>1.4011831493174212</x:v>
      </x:c>
      <x:c r="J25" s="105">
        <x:v>0.28567601116014452</x:v>
      </x:c>
      <x:c r="K25" s="105">
        <x:v>0.46936078062811609</x:v>
      </x:c>
      <x:c r="L25" s="105">
        <x:v>1.2884236476740709</x:v>
      </x:c>
      <x:c r="M25" s="105">
        <x:v>2.0434604394623315</x:v>
      </x:c>
      <x:c r="N25" s="105">
        <x:v>4.4566240628603069</x:v>
      </x:c>
      <x:c r="O25" s="106">
        <x:v>0.30661456082544802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ff2d31abe8034b28"/>
</x:worksheet>
</file>

<file path=xl/worksheets/sheet14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2014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2.5571838320711748</x:v>
      </x:c>
      <x:c r="D16" s="92">
        <x:v>-0.20492229776594989</x:v>
      </x:c>
      <x:c r="E16" s="92">
        <x:v>-0.3615948423179039</x:v>
      </x:c>
      <x:c r="F16" s="92">
        <x:v>-0.56651714008385379</x:v>
      </x:c>
      <x:c r="G16" s="92">
        <x:v>7.0894455117118836E-3</x:v>
      </x:c>
      <x:c r="H16" s="92">
        <x:v>0.5397985501738416</x:v>
      </x:c>
      <x:c r="I16" s="92">
        <x:v>0.54688799568555346</x:v>
      </x:c>
      <x:c r="J16" s="92">
        <x:v>0.1157313495134695</x:v>
      </x:c>
      <x:c r="K16" s="92">
        <x:v>0.1182283307447448</x:v>
      </x:c>
      <x:c r="L16" s="92">
        <x:v>0.55535233275956919</x:v>
      </x:c>
      <x:c r="M16" s="92">
        <x:v>0.78931201301778353</x:v>
      </x:c>
      <x:c r="N16" s="92">
        <x:v>0.76968286861948321</x:v>
      </x:c>
      <x:c r="O16" s="154">
        <x:v>1.7875009634516921</x:v>
      </x:c>
      <x:c r="P16" s="42"/>
    </x:row>
    <x:row r="17" s="3" customFormat="1" ht="27" customHeight="1">
      <x:c r="A17" s="81"/>
      <x:c r="B17" s="7" t="s">
        <x:v>82</x:v>
      </x:c>
      <x:c r="C17" s="93">
        <x:v>-2.2029775364768689</x:v>
      </x:c>
      <x:c r="D17" s="93">
        <x:v>1.569329598875586</x:v>
      </x:c>
      <x:c r="E17" s="93">
        <x:v>-0.15789768178637489</x:v>
      </x:c>
      <x:c r="F17" s="93">
        <x:v>1.4114319170892111</x:v>
      </x:c>
      <x:c r="G17" s="93">
        <x:v>0.4482564663515059</x:v>
      </x:c>
      <x:c r="H17" s="93">
        <x:v>4.7633504665972772</x:v>
      </x:c>
      <x:c r="I17" s="93">
        <x:v>5.2116069329487829</x:v>
      </x:c>
      <x:c r="J17" s="93">
        <x:v>-0.1754736071682067</x:v>
      </x:c>
      <x:c r="K17" s="93">
        <x:v>-5.8341318664612431E-2</x:v>
      </x:c>
      <x:c r="L17" s="93">
        <x:v>-1.120150216047729</x:v>
      </x:c>
      <x:c r="M17" s="93">
        <x:v>-1.3539651418805481</x:v>
      </x:c>
      <x:c r="N17" s="93">
        <x:v>5.2690737081574461</x:v>
      </x:c>
      <x:c r="O17" s="101">
        <x:v>-7.472051244634315</x:v>
      </x:c>
      <x:c r="P17" s="42"/>
    </x:row>
    <x:row r="18" s="3" customFormat="1" ht="27" customHeight="1">
      <x:c r="A18" s="80"/>
      <x:c r="B18" s="22" t="s">
        <x:v>83</x:v>
      </x:c>
      <x:c r="C18" s="92">
        <x:v>0.92036122847432011</x:v>
      </x:c>
      <x:c r="D18" s="92">
        <x:v>7.0145712717730277E-2</x:v>
      </x:c>
      <x:c r="E18" s="92">
        <x:v>0.4991585461521289</x:v>
      </x:c>
      <x:c r="F18" s="92">
        <x:v>0.56930425886985914</x:v>
      </x:c>
      <x:c r="G18" s="92">
        <x:v>1.618634026462084E-2</x:v>
      </x:c>
      <x:c r="H18" s="92">
        <x:v>1.1544713438281851</x:v>
      </x:c>
      <x:c r="I18" s="92">
        <x:v>1.1706576840928058</x:v>
      </x:c>
      <x:c r="J18" s="92">
        <x:v>-1.0334331864231729</x:v>
      </x:c>
      <x:c r="K18" s="92">
        <x:v>0.56368687340013068</x:v>
      </x:c>
      <x:c r="L18" s="92">
        <x:v>0.49843489386244239</x:v>
      </x:c>
      <x:c r="M18" s="92">
        <x:v>2.8688580839400124E-2</x:v>
      </x:c>
      <x:c r="N18" s="92">
        <x:v>1.7686505238020651</x:v>
      </x:c>
      <x:c r="O18" s="102">
        <x:v>-0.84828929532774477</x:v>
      </x:c>
      <x:c r="P18" s="42"/>
    </x:row>
    <x:row r="19" s="3" customFormat="1" ht="27" customHeight="1">
      <x:c r="A19" s="81"/>
      <x:c r="B19" s="7" t="s">
        <x:v>84</x:v>
      </x:c>
      <x:c r="C19" s="93">
        <x:v>5.4839724516201116</x:v>
      </x:c>
      <x:c r="D19" s="93">
        <x:v>0.14246525308690319</x:v>
      </x:c>
      <x:c r="E19" s="93">
        <x:v>0.60673083395902361</x:v>
      </x:c>
      <x:c r="F19" s="93">
        <x:v>0.74919608704592677</x:v>
      </x:c>
      <x:c r="G19" s="93">
        <x:v>1.721259678211071E-2</x:v>
      </x:c>
      <x:c r="H19" s="93">
        <x:v>2.0323904870168121</x:v>
      </x:c>
      <x:c r="I19" s="93">
        <x:v>2.0496030837989228</x:v>
      </x:c>
      <x:c r="J19" s="93">
        <x:v>2.048368699884203</x:v>
      </x:c>
      <x:c r="K19" s="93">
        <x:v>6.1948177834062992E-2</x:v>
      </x:c>
      <x:c r="L19" s="93">
        <x:v>1.8205095273100469</x:v>
      </x:c>
      <x:c r="M19" s="93">
        <x:v>3.9308264050283128</x:v>
      </x:c>
      <x:c r="N19" s="93">
        <x:v>6.729625575873162</x:v>
      </x:c>
      <x:c r="O19" s="101">
        <x:v>-1.24565312425305</x:v>
      </x:c>
      <x:c r="P19" s="42"/>
    </x:row>
    <x:row r="20" s="3" customFormat="1" ht="27" customHeight="1">
      <x:c r="A20" s="80"/>
      <x:c r="B20" s="22" t="s">
        <x:v>85</x:v>
      </x:c>
      <x:c r="C20" s="92">
        <x:v>8.799313094679917</x:v>
      </x:c>
      <x:c r="D20" s="92">
        <x:v>0.14809146361487091</x:v>
      </x:c>
      <x:c r="E20" s="92">
        <x:v>1.411440289452063</x:v>
      </x:c>
      <x:c r="F20" s="92">
        <x:v>1.5595317530669339</x:v>
      </x:c>
      <x:c r="G20" s="92">
        <x:v>7.0648645351212239E-3</x:v>
      </x:c>
      <x:c r="H20" s="92">
        <x:v>1.82293603075335</x:v>
      </x:c>
      <x:c r="I20" s="92">
        <x:v>1.8300008952884712</x:v>
      </x:c>
      <x:c r="J20" s="92">
        <x:v>9.9625976675318847E-2</x:v>
      </x:c>
      <x:c r="K20" s="92">
        <x:v>2.8944613666594572</x:v>
      </x:c>
      <x:c r="L20" s="92">
        <x:v>2.414883577931441</x:v>
      </x:c>
      <x:c r="M20" s="92">
        <x:v>5.4089709212662171</x:v>
      </x:c>
      <x:c r="N20" s="92">
        <x:v>8.7985035696216229</x:v>
      </x:c>
      <x:c r="O20" s="102">
        <x:v>8.0952505829401389E-4</x:v>
      </x:c>
      <x:c r="P20" s="42"/>
    </x:row>
    <x:row r="21" s="3" customFormat="1" ht="27" customHeight="1">
      <x:c r="A21" s="81"/>
      <x:c r="B21" s="7" t="s">
        <x:v>86</x:v>
      </x:c>
      <x:c r="C21" s="93">
        <x:v>4.2610224088617699</x:v>
      </x:c>
      <x:c r="D21" s="93">
        <x:v>-4.3586271982517133E-2</x:v>
      </x:c>
      <x:c r="E21" s="93">
        <x:v>0.67061762282553228</x:v>
      </x:c>
      <x:c r="F21" s="93">
        <x:v>0.6270313508430152</x:v>
      </x:c>
      <x:c r="G21" s="93">
        <x:v>1.979322839416227E-3</x:v>
      </x:c>
      <x:c r="H21" s="93">
        <x:v>4.0063875544854126E-3</x:v>
      </x:c>
      <x:c r="I21" s="93">
        <x:v>5.9857103939016396E-3</x:v>
      </x:c>
      <x:c r="J21" s="93">
        <x:v>8.6502308372790729E-2</x:v>
      </x:c>
      <x:c r="K21" s="93">
        <x:v>0.53939472506049624</x:v>
      </x:c>
      <x:c r="L21" s="93">
        <x:v>1.0496141053807371</x:v>
      </x:c>
      <x:c r="M21" s="93">
        <x:v>1.675511138814024</x:v>
      </x:c>
      <x:c r="N21" s="93">
        <x:v>2.3085282000509411</x:v>
      </x:c>
      <x:c r="O21" s="101">
        <x:v>1.952494208810829</x:v>
      </x:c>
      <x:c r="P21" s="42"/>
    </x:row>
    <x:row r="22" s="3" customFormat="1" ht="27" customHeight="1">
      <x:c r="A22" s="80"/>
      <x:c r="B22" s="22" t="s">
        <x:v>87</x:v>
      </x:c>
      <x:c r="C22" s="92">
        <x:v>4.2913999712320461</x:v>
      </x:c>
      <x:c r="D22" s="92">
        <x:v>0.57291453059163322</x:v>
      </x:c>
      <x:c r="E22" s="92">
        <x:v>1.2117492597138551</x:v>
      </x:c>
      <x:c r="F22" s="92">
        <x:v>1.7846637903054883</x:v>
      </x:c>
      <x:c r="G22" s="92">
        <x:v>0.30798474772784218</x:v>
      </x:c>
      <x:c r="H22" s="92">
        <x:v>0.53884598564373698</x:v>
      </x:c>
      <x:c r="I22" s="92">
        <x:v>0.84683073337157921</x:v>
      </x:c>
      <x:c r="J22" s="92">
        <x:v>0.49419977250128932</x:v>
      </x:c>
      <x:c r="K22" s="92">
        <x:v>-2.628078325197988E-2</x:v>
      </x:c>
      <x:c r="L22" s="92">
        <x:v>1.4484936789187839</x:v>
      </x:c>
      <x:c r="M22" s="92">
        <x:v>1.9164126681680933</x:v>
      </x:c>
      <x:c r="N22" s="92">
        <x:v>4.5479071918451606</x:v>
      </x:c>
      <x:c r="O22" s="102">
        <x:v>-0.25650722061311448</x:v>
      </x:c>
      <x:c r="P22" s="42"/>
    </x:row>
    <x:row r="23" s="3" customFormat="1" ht="27" customHeight="1">
      <x:c r="A23" s="81"/>
      <x:c r="B23" s="7" t="s">
        <x:v>88</x:v>
      </x:c>
      <x:c r="C23" s="93">
        <x:v>6.1911050671726642</x:v>
      </x:c>
      <x:c r="D23" s="93">
        <x:v>-5.8313751491868668E-2</x:v>
      </x:c>
      <x:c r="E23" s="93">
        <x:v>1.476812709072262</x:v>
      </x:c>
      <x:c r="F23" s="93">
        <x:v>1.4184989575803935</x:v>
      </x:c>
      <x:c r="G23" s="93">
        <x:v>0.13495531169316341</x:v>
      </x:c>
      <x:c r="H23" s="93">
        <x:v>2.291032772351369</x:v>
      </x:c>
      <x:c r="I23" s="93">
        <x:v>2.4259880840445325</x:v>
      </x:c>
      <x:c r="J23" s="93">
        <x:v>3.0909056799284788E-2</x:v>
      </x:c>
      <x:c r="K23" s="93">
        <x:v>8.3838989715645101E-2</x:v>
      </x:c>
      <x:c r="L23" s="93">
        <x:v>1.7228128225387609</x:v>
      </x:c>
      <x:c r="M23" s="93">
        <x:v>1.8375608690536909</x:v>
      </x:c>
      <x:c r="N23" s="93">
        <x:v>5.6820479106786168</x:v>
      </x:c>
      <x:c r="O23" s="101">
        <x:v>0.50905715649404826</x:v>
      </x:c>
      <x:c r="P23" s="42"/>
    </x:row>
    <x:row r="24" s="3" customFormat="1" ht="27" customHeight="1">
      <x:c r="A24" s="80"/>
      <x:c r="B24" s="22" t="s">
        <x:v>89</x:v>
      </x:c>
      <x:c r="C24" s="92">
        <x:v>4.4011236941539522</x:v>
      </x:c>
      <x:c r="D24" s="92">
        <x:v>1.1676635434215701</x:v>
      </x:c>
      <x:c r="E24" s="92">
        <x:v>3.576822708453979</x:v>
      </x:c>
      <x:c r="F24" s="92">
        <x:v>4.7444862518755491</x:v>
      </x:c>
      <x:c r="G24" s="92">
        <x:v>8.3034449475464958E-4</x:v>
      </x:c>
      <x:c r="H24" s="92">
        <x:v>4.6085482296870954E-3</x:v>
      </x:c>
      <x:c r="I24" s="92">
        <x:v>5.4388927244417452E-3</x:v>
      </x:c>
      <x:c r="J24" s="92">
        <x:v>3.729616652991944E-2</x:v>
      </x:c>
      <x:c r="K24" s="92">
        <x:v>2.472854696092169E-2</x:v>
      </x:c>
      <x:c r="L24" s="92">
        <x:v>1.271940685420375</x:v>
      </x:c>
      <x:c r="M24" s="92">
        <x:v>1.3339653989112161</x:v>
      </x:c>
      <x:c r="N24" s="92">
        <x:v>6.0838905435112069</x:v>
      </x:c>
      <x:c r="O24" s="102">
        <x:v>-1.6827668493572541</x:v>
      </x:c>
      <x:c r="P24" s="42"/>
    </x:row>
    <x:row r="25" s="3" customFormat="1" ht="27" customHeight="1">
      <x:c r="A25" s="57"/>
      <x:c r="B25" s="58" t="s">
        <x:v>90</x:v>
      </x:c>
      <x:c r="C25" s="104">
        <x:v>3.7385625823524049</x:v>
      </x:c>
      <x:c r="D25" s="104">
        <x:v>0.36678094591204091</x:v>
      </x:c>
      <x:c r="E25" s="104">
        <x:v>1.2134510141699231</x:v>
      </x:c>
      <x:c r="F25" s="104">
        <x:v>1.5802319600819641</x:v>
      </x:c>
      <x:c r="G25" s="104">
        <x:v>8.8554804498346032E-2</x:v>
      </x:c>
      <x:c r="H25" s="104">
        <x:v>1.3042313256382549</x:v>
      </x:c>
      <x:c r="I25" s="104">
        <x:v>1.3927861301366009</x:v>
      </x:c>
      <x:c r="J25" s="105">
        <x:v>-9.9770927366314779E-2</x:v>
      </x:c>
      <x:c r="K25" s="105">
        <x:v>0.49934169229987568</x:v>
      </x:c>
      <x:c r="L25" s="105">
        <x:v>1.0665969184466171</x:v>
      </x:c>
      <x:c r="M25" s="105">
        <x:v>1.466167683380178</x:v>
      </x:c>
      <x:c r="N25" s="105">
        <x:v>4.4391857735987426</x:v>
      </x:c>
      <x:c r="O25" s="106">
        <x:v>-0.70062319124633676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6b94c43138104166"/>
</x:worksheet>
</file>

<file path=xl/worksheets/sheet15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2015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4.6605595985966808</x:v>
      </x:c>
      <x:c r="D16" s="92">
        <x:v>-0.1698427387052327</x:v>
      </x:c>
      <x:c r="E16" s="92">
        <x:v>-0.5625665259289695</x:v>
      </x:c>
      <x:c r="F16" s="92">
        <x:v>-0.7324092646342022</x:v>
      </x:c>
      <x:c r="G16" s="92">
        <x:v>-5.3434599059562164E-3</x:v>
      </x:c>
      <x:c r="H16" s="92">
        <x:v>0.57512825295052683</x:v>
      </x:c>
      <x:c r="I16" s="92">
        <x:v>0.56978479304457064</x:v>
      </x:c>
      <x:c r="J16" s="92">
        <x:v>7.9723425715220383E-2</x:v>
      </x:c>
      <x:c r="K16" s="92">
        <x:v>1.6060120497587771</x:v>
      </x:c>
      <x:c r="L16" s="92">
        <x:v>0.37453222399342562</x:v>
      </x:c>
      <x:c r="M16" s="92">
        <x:v>2.0602676994674232</x:v>
      </x:c>
      <x:c r="N16" s="92">
        <x:v>1.8976432278777917</x:v>
      </x:c>
      <x:c r="O16" s="154">
        <x:v>2.7629163707188891</x:v>
      </x:c>
      <x:c r="P16" s="42"/>
    </x:row>
    <x:row r="17" s="3" customFormat="1" ht="27" customHeight="1">
      <x:c r="A17" s="81"/>
      <x:c r="B17" s="7" t="s">
        <x:v>82</x:v>
      </x:c>
      <x:c r="C17" s="93">
        <x:v>-0.67814954443896625</x:v>
      </x:c>
      <x:c r="D17" s="93">
        <x:v>-0.22104455309334189</x:v>
      </x:c>
      <x:c r="E17" s="93">
        <x:v>-0.39704040769844839</x:v>
      </x:c>
      <x:c r="F17" s="93">
        <x:v>-0.61808496079179032</x:v>
      </x:c>
      <x:c r="G17" s="93">
        <x:v>4.1632898771721841E-2</x:v>
      </x:c>
      <x:c r="H17" s="93">
        <x:v>3.3601927389365058</x:v>
      </x:c>
      <x:c r="I17" s="93">
        <x:v>3.4018256377082277</x:v>
      </x:c>
      <x:c r="J17" s="93">
        <x:v>0.54503419638089801</x:v>
      </x:c>
      <x:c r="K17" s="93">
        <x:v>1.2107435961255769E-2</x:v>
      </x:c>
      <x:c r="L17" s="93">
        <x:v>-0.60343959780658185</x:v>
      </x:c>
      <x:c r="M17" s="93">
        <x:v>-4.6297965464428104E-2</x:v>
      </x:c>
      <x:c r="N17" s="93">
        <x:v>2.7374427114520095</x:v>
      </x:c>
      <x:c r="O17" s="101">
        <x:v>-3.4155922558909761</x:v>
      </x:c>
      <x:c r="P17" s="42"/>
    </x:row>
    <x:row r="18" s="3" customFormat="1" ht="27" customHeight="1">
      <x:c r="A18" s="80"/>
      <x:c r="B18" s="22" t="s">
        <x:v>83</x:v>
      </x:c>
      <x:c r="C18" s="92">
        <x:v>2.3304655302539778</x:v>
      </x:c>
      <x:c r="D18" s="92">
        <x:v>-4.823463053174594E-2</x:v>
      </x:c>
      <x:c r="E18" s="92">
        <x:v>0.67610853755694322</x:v>
      </x:c>
      <x:c r="F18" s="92">
        <x:v>0.6278739070251973</x:v>
      </x:c>
      <x:c r="G18" s="92">
        <x:v>1.4666393813715199E-2</x:v>
      </x:c>
      <x:c r="H18" s="92">
        <x:v>0.98290375853601386</x:v>
      </x:c>
      <x:c r="I18" s="92">
        <x:v>0.99757015234972901</x:v>
      </x:c>
      <x:c r="J18" s="92">
        <x:v>5.0844075444559976E-3</x:v>
      </x:c>
      <x:c r="K18" s="92">
        <x:v>1.6272910744686591</x:v>
      </x:c>
      <x:c r="L18" s="92">
        <x:v>8.8189037323364319E-2</x:v>
      </x:c>
      <x:c r="M18" s="92">
        <x:v>1.7205645193364794</x:v>
      </x:c>
      <x:c r="N18" s="92">
        <x:v>3.3460085787114058</x:v>
      </x:c>
      <x:c r="O18" s="102">
        <x:v>-1.0155430484574279</x:v>
      </x:c>
      <x:c r="P18" s="42"/>
    </x:row>
    <x:row r="19" s="3" customFormat="1" ht="27" customHeight="1">
      <x:c r="A19" s="81"/>
      <x:c r="B19" s="7" t="s">
        <x:v>84</x:v>
      </x:c>
      <x:c r="C19" s="93">
        <x:v>3.146202066399173</x:v>
      </x:c>
      <x:c r="D19" s="93">
        <x:v>6.5633426031347752E-2</x:v>
      </x:c>
      <x:c r="E19" s="93">
        <x:v>-0.2366185828353298</x:v>
      </x:c>
      <x:c r="F19" s="93">
        <x:v>-0.17098515680398205</x:v>
      </x:c>
      <x:c r="G19" s="93">
        <x:v>-7.3797880535076657E-4</x:v>
      </x:c>
      <x:c r="H19" s="93">
        <x:v>1.3360773577748291</x:v>
      </x:c>
      <x:c r="I19" s="93">
        <x:v>1.3353393789694783</x:v>
      </x:c>
      <x:c r="J19" s="93">
        <x:v>1.2872439283787489</x:v>
      </x:c>
      <x:c r="K19" s="93">
        <x:v>0.58411435574214576</x:v>
      </x:c>
      <x:c r="L19" s="93">
        <x:v>1.6543719645424659</x:v>
      </x:c>
      <x:c r="M19" s="93">
        <x:v>3.5257302486633604</x:v>
      </x:c>
      <x:c r="N19" s="93">
        <x:v>4.6900844708288565</x:v>
      </x:c>
      <x:c r="O19" s="101">
        <x:v>-1.5438824044296831</x:v>
      </x:c>
      <x:c r="P19" s="42"/>
    </x:row>
    <x:row r="20" s="3" customFormat="1" ht="27" customHeight="1">
      <x:c r="A20" s="80"/>
      <x:c r="B20" s="22" t="s">
        <x:v>85</x:v>
      </x:c>
      <x:c r="C20" s="92">
        <x:v>5.7565909223606937</x:v>
      </x:c>
      <x:c r="D20" s="92">
        <x:v>-0.12035384751914401</x:v>
      </x:c>
      <x:c r="E20" s="92">
        <x:v>3.102475629986619</x:v>
      </x:c>
      <x:c r="F20" s="92">
        <x:v>2.9821217824674751</x:v>
      </x:c>
      <x:c r="G20" s="92">
        <x:v>-6.5788558221399193E-3</x:v>
      </x:c>
      <x:c r="H20" s="92">
        <x:v>0.102013889765019</x:v>
      </x:c>
      <x:c r="I20" s="92">
        <x:v>9.5435033942879083E-2</x:v>
      </x:c>
      <x:c r="J20" s="92">
        <x:v>0.1217461729402812</x:v>
      </x:c>
      <x:c r="K20" s="92">
        <x:v>2.0818907176005732</x:v>
      </x:c>
      <x:c r="L20" s="92">
        <x:v>1.17116181800287</x:v>
      </x:c>
      <x:c r="M20" s="92">
        <x:v>3.3747987085437243</x:v>
      </x:c>
      <x:c r="N20" s="92">
        <x:v>6.4523555249540783</x:v>
      </x:c>
      <x:c r="O20" s="102">
        <x:v>-0.69576460259338546</x:v>
      </x:c>
      <x:c r="P20" s="42"/>
    </x:row>
    <x:row r="21" s="3" customFormat="1" ht="27" customHeight="1">
      <x:c r="A21" s="81"/>
      <x:c r="B21" s="7" t="s">
        <x:v>86</x:v>
      </x:c>
      <x:c r="C21" s="93">
        <x:v>3.205947708883095</x:v>
      </x:c>
      <x:c r="D21" s="93">
        <x:v>-0.30331471186508419</x:v>
      </x:c>
      <x:c r="E21" s="93">
        <x:v>-1.5856339024170809</x:v>
      </x:c>
      <x:c r="F21" s="93">
        <x:v>-1.8889486142821652</x:v>
      </x:c>
      <x:c r="G21" s="93">
        <x:v>2.1303610367465371E-2</x:v>
      </x:c>
      <x:c r="H21" s="93">
        <x:v>3.7686416542368817E-2</x:v>
      </x:c>
      <x:c r="I21" s="93">
        <x:v>5.8990026909834188E-2</x:v>
      </x:c>
      <x:c r="J21" s="93">
        <x:v>8.1484402631436262E-2</x:v>
      </x:c>
      <x:c r="K21" s="93">
        <x:v>0.91048703049976576</x:v>
      </x:c>
      <x:c r="L21" s="93">
        <x:v>0.53199076105306253</x:v>
      </x:c>
      <x:c r="M21" s="93">
        <x:v>1.5239621941842647</x:v>
      </x:c>
      <x:c r="N21" s="93">
        <x:v>-0.30599639318806626</x:v>
      </x:c>
      <x:c r="O21" s="101">
        <x:v>3.511944102071161</x:v>
      </x:c>
      <x:c r="P21" s="42"/>
    </x:row>
    <x:row r="22" s="3" customFormat="1" ht="27" customHeight="1">
      <x:c r="A22" s="80"/>
      <x:c r="B22" s="22" t="s">
        <x:v>87</x:v>
      </x:c>
      <x:c r="C22" s="92">
        <x:v>2.0158344904618102</x:v>
      </x:c>
      <x:c r="D22" s="92">
        <x:v>2.21961407673981E-2</x:v>
      </x:c>
      <x:c r="E22" s="92">
        <x:v>1.847156003739584</x:v>
      </x:c>
      <x:c r="F22" s="92">
        <x:v>1.8693521445069821</x:v>
      </x:c>
      <x:c r="G22" s="92">
        <x:v>0.11818672878132939</x:v>
      </x:c>
      <x:c r="H22" s="92">
        <x:v>0.15879962857597729</x:v>
      </x:c>
      <x:c r="I22" s="92">
        <x:v>0.2769863573573067</x:v>
      </x:c>
      <x:c r="J22" s="92">
        <x:v>-0.1015148284581617</x:v>
      </x:c>
      <x:c r="K22" s="92">
        <x:v>0.218250911904872</x:v>
      </x:c>
      <x:c r="L22" s="92">
        <x:v>0.57481377027116809</x:v>
      </x:c>
      <x:c r="M22" s="92">
        <x:v>0.69154985371787836</x:v>
      </x:c>
      <x:c r="N22" s="92">
        <x:v>2.8378883555821672</x:v>
      </x:c>
      <x:c r="O22" s="102">
        <x:v>-0.8220538651203575</x:v>
      </x:c>
      <x:c r="P22" s="42"/>
    </x:row>
    <x:row r="23" s="3" customFormat="1" ht="27" customHeight="1">
      <x:c r="A23" s="81"/>
      <x:c r="B23" s="7" t="s">
        <x:v>88</x:v>
      </x:c>
      <x:c r="C23" s="93">
        <x:v>2.351043875712389</x:v>
      </x:c>
      <x:c r="D23" s="93">
        <x:v>-1.041005031764876</x:v>
      </x:c>
      <x:c r="E23" s="93">
        <x:v>-0.83455917003143709</x:v>
      </x:c>
      <x:c r="F23" s="93">
        <x:v>-1.8755642017963132</x:v>
      </x:c>
      <x:c r="G23" s="93">
        <x:v>4.2480121083843803E-2</x:v>
      </x:c>
      <x:c r="H23" s="93">
        <x:v>2.362449253553482</x:v>
      </x:c>
      <x:c r="I23" s="93">
        <x:v>2.4049293746373257</x:v>
      </x:c>
      <x:c r="J23" s="93">
        <x:v>5.6256425558984793E-3</x:v>
      </x:c>
      <x:c r="K23" s="93">
        <x:v>0.1144230468958423</x:v>
      </x:c>
      <x:c r="L23" s="93">
        <x:v>8.953291641870488E-2</x:v>
      </x:c>
      <x:c r="M23" s="93">
        <x:v>0.20958160587044566</x:v>
      </x:c>
      <x:c r="N23" s="93">
        <x:v>0.73894677871145831</x:v>
      </x:c>
      <x:c r="O23" s="101">
        <x:v>1.6120970970009301</x:v>
      </x:c>
      <x:c r="P23" s="42"/>
    </x:row>
    <x:row r="24" s="3" customFormat="1" ht="27" customHeight="1">
      <x:c r="A24" s="80"/>
      <x:c r="B24" s="22" t="s">
        <x:v>89</x:v>
      </x:c>
      <x:c r="C24" s="92">
        <x:v>5.2062481055664911</x:v>
      </x:c>
      <x:c r="D24" s="92">
        <x:v>-0.34324457812242137</x:v>
      </x:c>
      <x:c r="E24" s="92">
        <x:v>1.792055752048862</x:v>
      </x:c>
      <x:c r="F24" s="92">
        <x:v>1.4488111739264407</x:v>
      </x:c>
      <x:c r="G24" s="92">
        <x:v>-2.5012456220374353E-4</x:v>
      </x:c>
      <x:c r="H24" s="92">
        <x:v>5.7534915063118556E-3</x:v>
      </x:c>
      <x:c r="I24" s="92">
        <x:v>5.503366944108112E-3</x:v>
      </x:c>
      <x:c r="J24" s="92">
        <x:v>7.0027706376346532E-2</x:v>
      </x:c>
      <x:c r="K24" s="92">
        <x:v>0.89284541619930535</x:v>
      </x:c>
      <x:c r="L24" s="92">
        <x:v>1.4223853428912521</x:v>
      </x:c>
      <x:c r="M24" s="92">
        <x:v>2.385258465466904</x:v>
      </x:c>
      <x:c r="N24" s="92">
        <x:v>3.8395730063374529</x:v>
      </x:c>
      <x:c r="O24" s="102">
        <x:v>1.366675099229038</x:v>
      </x:c>
      <x:c r="P24" s="42"/>
    </x:row>
    <x:row r="25" s="3" customFormat="1" ht="27" customHeight="1">
      <x:c r="A25" s="57"/>
      <x:c r="B25" s="58" t="s">
        <x:v>90</x:v>
      </x:c>
      <x:c r="C25" s="104">
        <x:v>3.1787927582444011</x:v>
      </x:c>
      <x:c r="D25" s="104">
        <x:v>-0.29375581236248122</x:v>
      </x:c>
      <x:c r="E25" s="104">
        <x:v>0.54343373570370623</x:v>
      </x:c>
      <x:c r="F25" s="104">
        <x:v>0.24967792334122502</x:v>
      </x:c>
      <x:c r="G25" s="104">
        <x:v>2.4655219439000509E-2</x:v>
      </x:c>
      <x:c r="H25" s="104">
        <x:v>0.90552404175798717</x:v>
      </x:c>
      <x:c r="I25" s="104">
        <x:v>0.93017926119698768</x:v>
      </x:c>
      <x:c r="J25" s="105">
        <x:v>0.1088070678738767</x:v>
      </x:c>
      <x:c r="K25" s="105">
        <x:v>0.9714027715484137</x:v>
      </x:c>
      <x:c r="L25" s="105">
        <x:v>0.53245357323401066</x:v>
      </x:c>
      <x:c r="M25" s="105">
        <x:v>1.6126634126563011</x:v>
      </x:c>
      <x:c r="N25" s="105">
        <x:v>2.792520597194514</x:v>
      </x:c>
      <x:c r="O25" s="106">
        <x:v>0.38627216104988671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492bcf20ec6b498b"/>
</x:worksheet>
</file>

<file path=xl/worksheets/sheet16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2016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2.5680065865027579</x:v>
      </x:c>
      <x:c r="D16" s="92">
        <x:v>-0.30255825520485768</x:v>
      </x:c>
      <x:c r="E16" s="92">
        <x:v>0.1237103137389103</x:v>
      </x:c>
      <x:c r="F16" s="92">
        <x:v>-0.1788479414659474</x:v>
      </x:c>
      <x:c r="G16" s="92">
        <x:v>4.6040938500827499E-3</x:v>
      </x:c>
      <x:c r="H16" s="92">
        <x:v>0.60566305507754403</x:v>
      </x:c>
      <x:c r="I16" s="92">
        <x:v>0.61026714892762679</x:v>
      </x:c>
      <x:c r="J16" s="92">
        <x:v>4.1434504331463617E-2</x:v>
      </x:c>
      <x:c r="K16" s="92">
        <x:v>0.62910000071637273</x:v>
      </x:c>
      <x:c r="L16" s="92">
        <x:v>0.2075642435144007</x:v>
      </x:c>
      <x:c r="M16" s="92">
        <x:v>0.87809874856223713</x:v>
      </x:c>
      <x:c r="N16" s="92">
        <x:v>1.3095179560239165</x:v>
      </x:c>
      <x:c r="O16" s="154">
        <x:v>1.258488630478841</x:v>
      </x:c>
      <x:c r="P16" s="42"/>
    </x:row>
    <x:row r="17" s="3" customFormat="1" ht="27" customHeight="1">
      <x:c r="A17" s="81"/>
      <x:c r="B17" s="7" t="s">
        <x:v>82</x:v>
      </x:c>
      <x:c r="C17" s="93">
        <x:v>-4.0699608104397988</x:v>
      </x:c>
      <x:c r="D17" s="93">
        <x:v>-0.98829574681953414</x:v>
      </x:c>
      <x:c r="E17" s="93">
        <x:v>-0.74818416046961511</x:v>
      </x:c>
      <x:c r="F17" s="93">
        <x:v>-1.7364799072891492</x:v>
      </x:c>
      <x:c r="G17" s="93">
        <x:v>0.17239088985717649</x:v>
      </x:c>
      <x:c r="H17" s="93">
        <x:v>1.8907647131776579</x:v>
      </x:c>
      <x:c r="I17" s="93">
        <x:v>2.0631556030348346</x:v>
      </x:c>
      <x:c r="J17" s="93">
        <x:v>-0.55938677059325947</x:v>
      </x:c>
      <x:c r="K17" s="93">
        <x:v>-0.2130025595234053</x:v>
      </x:c>
      <x:c r="L17" s="93">
        <x:v>-1.739711076357759</x:v>
      </x:c>
      <x:c r="M17" s="93">
        <x:v>-2.5121004064744237</x:v>
      </x:c>
      <x:c r="N17" s="93">
        <x:v>-2.1854247107287383</x:v>
      </x:c>
      <x:c r="O17" s="101">
        <x:v>-1.884536099711061</x:v>
      </x:c>
      <x:c r="P17" s="42"/>
    </x:row>
    <x:row r="18" s="3" customFormat="1" ht="27" customHeight="1">
      <x:c r="A18" s="80"/>
      <x:c r="B18" s="22" t="s">
        <x:v>83</x:v>
      </x:c>
      <x:c r="C18" s="92">
        <x:v>2.3235375266638769</x:v>
      </x:c>
      <x:c r="D18" s="92">
        <x:v>3.6312725830990253E-2</x:v>
      </x:c>
      <x:c r="E18" s="92">
        <x:v>1.4962606054456869E-2</x:v>
      </x:c>
      <x:c r="F18" s="92">
        <x:v>5.1275331885447126E-2</x:v>
      </x:c>
      <x:c r="G18" s="92">
        <x:v>8.0699315481701228E-3</x:v>
      </x:c>
      <x:c r="H18" s="92">
        <x:v>0.47774252672410877</x:v>
      </x:c>
      <x:c r="I18" s="92">
        <x:v>0.48581245827227892</x:v>
      </x:c>
      <x:c r="J18" s="92">
        <x:v>0.79473144574706767</x:v>
      </x:c>
      <x:c r="K18" s="92">
        <x:v>0.52524372257269258</x:v>
      </x:c>
      <x:c r="L18" s="92">
        <x:v>-1.2108352188006479E-2</x:v>
      </x:c>
      <x:c r="M18" s="92">
        <x:v>1.3078668161317537</x:v>
      </x:c>
      <x:c r="N18" s="92">
        <x:v>1.8449546062894797</x:v>
      </x:c>
      <x:c r="O18" s="102">
        <x:v>0.4785829203743972</x:v>
      </x:c>
      <x:c r="P18" s="42"/>
    </x:row>
    <x:row r="19" s="3" customFormat="1" ht="27" customHeight="1">
      <x:c r="A19" s="81"/>
      <x:c r="B19" s="7" t="s">
        <x:v>84</x:v>
      </x:c>
      <x:c r="C19" s="93">
        <x:v>2.6462835138296729E-2</x:v>
      </x:c>
      <x:c r="D19" s="93">
        <x:v>0.1644836395223663</x:v>
      </x:c>
      <x:c r="E19" s="93">
        <x:v>-5.6354270641595108E-2</x:v>
      </x:c>
      <x:c r="F19" s="93">
        <x:v>0.1081293688807712</x:v>
      </x:c>
      <x:c r="G19" s="93">
        <x:v>4.4738162681482981E-3</x:v>
      </x:c>
      <x:c r="H19" s="93">
        <x:v>1.539097366940023</x:v>
      </x:c>
      <x:c r="I19" s="93">
        <x:v>1.5435711832081713</x:v>
      </x:c>
      <x:c r="J19" s="93">
        <x:v>-9.7727079785945928E-2</x:v>
      </x:c>
      <x:c r="K19" s="93">
        <x:v>-0.2472244234534221</x:v>
      </x:c>
      <x:c r="L19" s="93">
        <x:v>0.12539472976440291</x:v>
      </x:c>
      <x:c r="M19" s="93">
        <x:v>-0.21955677347496511</x:v>
      </x:c>
      <x:c r="N19" s="93">
        <x:v>1.4321437786139775</x:v>
      </x:c>
      <x:c r="O19" s="101">
        <x:v>-1.405680943475681</x:v>
      </x:c>
      <x:c r="P19" s="42"/>
    </x:row>
    <x:row r="20" s="3" customFormat="1" ht="27" customHeight="1">
      <x:c r="A20" s="80"/>
      <x:c r="B20" s="22" t="s">
        <x:v>85</x:v>
      </x:c>
      <x:c r="C20" s="92">
        <x:v>2.4781662178615882</x:v>
      </x:c>
      <x:c r="D20" s="92">
        <x:v>0.1040848997437476</x:v>
      </x:c>
      <x:c r="E20" s="92">
        <x:v>0.2220763884680079</x:v>
      </x:c>
      <x:c r="F20" s="92">
        <x:v>0.3261612882117555</x:v>
      </x:c>
      <x:c r="G20" s="92">
        <x:v>5.9564760933062131E-3</x:v>
      </x:c>
      <x:c r="H20" s="92">
        <x:v>1.056778215018936</x:v>
      </x:c>
      <x:c r="I20" s="92">
        <x:v>1.0627346911122422</x:v>
      </x:c>
      <x:c r="J20" s="92">
        <x:v>3.5661727418033709E-2</x:v>
      </x:c>
      <x:c r="K20" s="92">
        <x:v>0.11650210495096081</x:v>
      </x:c>
      <x:c r="L20" s="92">
        <x:v>0.97463836182759189</x:v>
      </x:c>
      <x:c r="M20" s="92">
        <x:v>1.1268021941965864</x:v>
      </x:c>
      <x:c r="N20" s="92">
        <x:v>2.5156981735205841</x:v>
      </x:c>
      <x:c r="O20" s="102">
        <x:v>-3.7531955658995919E-2</x:v>
      </x:c>
      <x:c r="P20" s="42"/>
    </x:row>
    <x:row r="21" s="3" customFormat="1" ht="27" customHeight="1">
      <x:c r="A21" s="81"/>
      <x:c r="B21" s="7" t="s">
        <x:v>86</x:v>
      </x:c>
      <x:c r="C21" s="93">
        <x:v>2.163473823621942</x:v>
      </x:c>
      <x:c r="D21" s="93">
        <x:v>-0.2100834189809235</x:v>
      </x:c>
      <x:c r="E21" s="93">
        <x:v>2.116208354122159</x:v>
      </x:c>
      <x:c r="F21" s="93">
        <x:v>1.9061249351412355</x:v>
      </x:c>
      <x:c r="G21" s="93">
        <x:v>1.874582087556698E-2</x:v>
      </x:c>
      <x:c r="H21" s="93">
        <x:v>2.1607659524327041E-2</x:v>
      </x:c>
      <x:c r="I21" s="93">
        <x:v>4.0353480399894018E-2</x:v>
      </x:c>
      <x:c r="J21" s="93">
        <x:v>2.2533935082486699E-2</x:v>
      </x:c>
      <x:c r="K21" s="93">
        <x:v>0.7337378346316199</x:v>
      </x:c>
      <x:c r="L21" s="93">
        <x:v>-0.5937411099795471</x:v>
      </x:c>
      <x:c r="M21" s="93">
        <x:v>0.16253065973455949</x:v>
      </x:c>
      <x:c r="N21" s="93">
        <x:v>2.1090090752756891</x:v>
      </x:c>
      <x:c r="O21" s="101">
        <x:v>5.4464748346252811E-2</x:v>
      </x:c>
      <x:c r="P21" s="42"/>
    </x:row>
    <x:row r="22" s="3" customFormat="1" ht="27" customHeight="1">
      <x:c r="A22" s="80"/>
      <x:c r="B22" s="22" t="s">
        <x:v>87</x:v>
      </x:c>
      <x:c r="C22" s="92">
        <x:v>-0.5154889256735018</x:v>
      </x:c>
      <x:c r="D22" s="92">
        <x:v>0.14982233472953729</x:v>
      </x:c>
      <x:c r="E22" s="92">
        <x:v>-0.47783695593470321</x:v>
      </x:c>
      <x:c r="F22" s="92">
        <x:v>-0.32801462120516589</x:v>
      </x:c>
      <x:c r="G22" s="92">
        <x:v>0.27082607202798731</x:v>
      </x:c>
      <x:c r="H22" s="92">
        <x:v>0.21524806650390779</x:v>
      </x:c>
      <x:c r="I22" s="92">
        <x:v>0.48607413853189507</x:v>
      </x:c>
      <x:c r="J22" s="92">
        <x:v>0.14512970524251509</x:v>
      </x:c>
      <x:c r="K22" s="92">
        <x:v>-0.13055569979925399</x:v>
      </x:c>
      <x:c r="L22" s="92">
        <x:v>-0.47317600123926162</x:v>
      </x:c>
      <x:c r="M22" s="92">
        <x:v>-0.45860199579600053</x:v>
      </x:c>
      <x:c r="N22" s="92">
        <x:v>-0.30054247846927135</x:v>
      </x:c>
      <x:c r="O22" s="102">
        <x:v>-0.21494644720423051</x:v>
      </x:c>
      <x:c r="P22" s="42"/>
    </x:row>
    <x:row r="23" s="3" customFormat="1" ht="27" customHeight="1">
      <x:c r="A23" s="81"/>
      <x:c r="B23" s="7" t="s">
        <x:v>88</x:v>
      </x:c>
      <x:c r="C23" s="93">
        <x:v>0.77546041562701618</x:v>
      </x:c>
      <x:c r="D23" s="93">
        <x:v>0.1614735194438329</x:v>
      </x:c>
      <x:c r="E23" s="93">
        <x:v>2.218201404889014</x:v>
      </x:c>
      <x:c r="F23" s="93">
        <x:v>2.3796749243328468</x:v>
      </x:c>
      <x:c r="G23" s="93">
        <x:v>2.8224496719648419E-2</x:v>
      </x:c>
      <x:c r="H23" s="93">
        <x:v>2.1147453400828859</x:v>
      </x:c>
      <x:c r="I23" s="93">
        <x:v>2.1429698368025343</x:v>
      </x:c>
      <x:c r="J23" s="93">
        <x:v>9.7671418436539349E-3</x:v>
      </x:c>
      <x:c r="K23" s="93">
        <x:v>-5.825624822272865E-3</x:v>
      </x:c>
      <x:c r="L23" s="93">
        <x:v>-0.17608043246042029</x:v>
      </x:c>
      <x:c r="M23" s="93">
        <x:v>-0.17213891543903923</x:v>
      </x:c>
      <x:c r="N23" s="93">
        <x:v>4.3505058456963415</x:v>
      </x:c>
      <x:c r="O23" s="101">
        <x:v>-3.5750454300693262</x:v>
      </x:c>
      <x:c r="P23" s="42"/>
    </x:row>
    <x:row r="24" s="3" customFormat="1" ht="27" customHeight="1">
      <x:c r="A24" s="80"/>
      <x:c r="B24" s="22" t="s">
        <x:v>89</x:v>
      </x:c>
      <x:c r="C24" s="92">
        <x:v>2.61905025543685</x:v>
      </x:c>
      <x:c r="D24" s="92">
        <x:v>1.052140987145822</x:v>
      </x:c>
      <x:c r="E24" s="92">
        <x:v>1.4088047252612761</x:v>
      </x:c>
      <x:c r="F24" s="92">
        <x:v>2.4609457124070984</x:v>
      </x:c>
      <x:c r="G24" s="92">
        <x:v>0</x:v>
      </x:c>
      <x:c r="H24" s="92">
        <x:v>0</x:v>
      </x:c>
      <x:c r="I24" s="92">
        <x:v>0</x:v>
      </x:c>
      <x:c r="J24" s="92">
        <x:v>0</x:v>
      </x:c>
      <x:c r="K24" s="92">
        <x:v>5.6904789528730571E-2</x:v>
      </x:c>
      <x:c r="L24" s="92">
        <x:v>0.39137623621667228</x:v>
      </x:c>
      <x:c r="M24" s="92">
        <x:v>0.44828102574540285</x:v>
      </x:c>
      <x:c r="N24" s="92">
        <x:v>2.9092267381525012</x:v>
      </x:c>
      <x:c r="O24" s="102">
        <x:v>-0.29017648271565122</x:v>
      </x:c>
      <x:c r="P24" s="42"/>
    </x:row>
    <x:row r="25" s="3" customFormat="1" ht="27" customHeight="1">
      <x:c r="A25" s="57"/>
      <x:c r="B25" s="58" t="s">
        <x:v>90</x:v>
      </x:c>
      <x:c r="C25" s="104">
        <x:v>1.467999858889725</x:v>
      </x:c>
      <x:c r="D25" s="104">
        <x:v>0.13511553602404519</x:v>
      </x:c>
      <x:c r="E25" s="104">
        <x:v>0.77749625656700272</x:v>
      </x:c>
      <x:c r="F25" s="104">
        <x:v>0.91261179259104797</x:v>
      </x:c>
      <x:c r="G25" s="104">
        <x:v>4.297100800637791E-2</x:v>
      </x:c>
      <x:c r="H25" s="104">
        <x:v>0.7503428224073474</x:v>
      </x:c>
      <x:c r="I25" s="104">
        <x:v>0.79331383041372527</x:v>
      </x:c>
      <x:c r="J25" s="105">
        <x:v>0.16635048172172809</x:v>
      </x:c>
      <x:c r="K25" s="105">
        <x:v>0.23291056674947411</x:v>
      </x:c>
      <x:c r="L25" s="105">
        <x:v>-5.7938483499493543E-2</x:v>
      </x:c>
      <x:c r="M25" s="105">
        <x:v>0.34132256497170865</x:v>
      </x:c>
      <x:c r="N25" s="105">
        <x:v>2.0472481879764821</x:v>
      </x:c>
      <x:c r="O25" s="106">
        <x:v>-0.57924832908675672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ac6b3e86f2b54205"/>
</x:worksheet>
</file>

<file path=xl/worksheets/sheet17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2017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4.9166863022203522</x:v>
      </x:c>
      <x:c r="D16" s="92">
        <x:v>-8.6273098348938537E-2</x:v>
      </x:c>
      <x:c r="E16" s="92">
        <x:v>1.477241599910589</x:v>
      </x:c>
      <x:c r="F16" s="92">
        <x:v>1.3909685015616504</x:v>
      </x:c>
      <x:c r="G16" s="92">
        <x:v>2.915617837191898E-3</x:v>
      </x:c>
      <x:c r="H16" s="92">
        <x:v>0.63674422199572922</x:v>
      </x:c>
      <x:c r="I16" s="92">
        <x:v>0.63965983983292107</x:v>
      </x:c>
      <x:c r="J16" s="92">
        <x:v>0.1563899952743103</x:v>
      </x:c>
      <x:c r="K16" s="92">
        <x:v>1.1545987354973479</x:v>
      </x:c>
      <x:c r="L16" s="92">
        <x:v>0.16520347873102439</x:v>
      </x:c>
      <x:c r="M16" s="92">
        <x:v>1.4761922095026827</x:v>
      </x:c>
      <x:c r="N16" s="92">
        <x:v>3.5068205508972543</x:v>
      </x:c>
      <x:c r="O16" s="154">
        <x:v>1.4098657513230981</x:v>
      </x:c>
      <x:c r="P16" s="42"/>
    </x:row>
    <x:row r="17" s="3" customFormat="1" ht="27" customHeight="1">
      <x:c r="A17" s="81"/>
      <x:c r="B17" s="7" t="s">
        <x:v>82</x:v>
      </x:c>
      <x:c r="C17" s="93">
        <x:v>-4.5537229143197244</x:v>
      </x:c>
      <x:c r="D17" s="93">
        <x:v>-0.40099344588504598</x:v>
      </x:c>
      <x:c r="E17" s="93">
        <x:v>-0.27063033863126101</x:v>
      </x:c>
      <x:c r="F17" s="93">
        <x:v>-0.671623784516307</x:v>
      </x:c>
      <x:c r="G17" s="93">
        <x:v>0.19936563040215699</x:v>
      </x:c>
      <x:c r="H17" s="93">
        <x:v>1.2017577804893651</x:v>
      </x:c>
      <x:c r="I17" s="93">
        <x:v>1.401123410891522</x:v>
      </x:c>
      <x:c r="J17" s="93">
        <x:v>-2.0381514501692542E-2</x:v>
      </x:c>
      <x:c r="K17" s="93">
        <x:v>-0.1018958515712966</x:v>
      </x:c>
      <x:c r="L17" s="93">
        <x:v>-1.2553112325831099</x:v>
      </x:c>
      <x:c r="M17" s="93">
        <x:v>-1.3775885986560992</x:v>
      </x:c>
      <x:c r="N17" s="93">
        <x:v>-0.64808897228088413</x:v>
      </x:c>
      <x:c r="O17" s="101">
        <x:v>-3.9056339420388411</x:v>
      </x:c>
      <x:c r="P17" s="42"/>
    </x:row>
    <x:row r="18" s="3" customFormat="1" ht="27" customHeight="1">
      <x:c r="A18" s="80"/>
      <x:c r="B18" s="22" t="s">
        <x:v>83</x:v>
      </x:c>
      <x:c r="C18" s="92">
        <x:v>-1.290404816407964</x:v>
      </x:c>
      <x:c r="D18" s="92">
        <x:v>8.1475170905814312E-3</x:v>
      </x:c>
      <x:c r="E18" s="92">
        <x:v>-0.28645530118559442</x:v>
      </x:c>
      <x:c r="F18" s="92">
        <x:v>-0.278307784095013</x:v>
      </x:c>
      <x:c r="G18" s="92">
        <x:v>3.5782876200860739E-3</x:v>
      </x:c>
      <x:c r="H18" s="92">
        <x:v>0.46870921263299842</x:v>
      </x:c>
      <x:c r="I18" s="92">
        <x:v>0.47228750025308447</x:v>
      </x:c>
      <x:c r="J18" s="92">
        <x:v>0.24348410532624831</x:v>
      </x:c>
      <x:c r="K18" s="92">
        <x:v>-0.86703589102385759</x:v>
      </x:c>
      <x:c r="L18" s="92">
        <x:v>-0.1195216038636126</x:v>
      </x:c>
      <x:c r="M18" s="92">
        <x:v>-0.74307338956122182</x:v>
      </x:c>
      <x:c r="N18" s="92">
        <x:v>-0.54909367340315041</x:v>
      </x:c>
      <x:c r="O18" s="102">
        <x:v>-0.7413111430048136</x:v>
      </x:c>
      <x:c r="P18" s="42"/>
    </x:row>
    <x:row r="19" s="3" customFormat="1" ht="27" customHeight="1">
      <x:c r="A19" s="81"/>
      <x:c r="B19" s="7" t="s">
        <x:v>84</x:v>
      </x:c>
      <x:c r="C19" s="93">
        <x:v>0.90011279091752883</x:v>
      </x:c>
      <x:c r="D19" s="93">
        <x:v>-4.1696536683265222E-2</x:v>
      </x:c>
      <x:c r="E19" s="93">
        <x:v>0.20273390496387181</x:v>
      </x:c>
      <x:c r="F19" s="93">
        <x:v>0.16103736828060658</x:v>
      </x:c>
      <x:c r="G19" s="93">
        <x:v>1.267599646327695E-3</x:v>
      </x:c>
      <x:c r="H19" s="93">
        <x:v>1.532365347864866</x:v>
      </x:c>
      <x:c r="I19" s="93">
        <x:v>1.5336329475111936</x:v>
      </x:c>
      <x:c r="J19" s="93">
        <x:v>-1.135441261649045</x:v>
      </x:c>
      <x:c r="K19" s="93">
        <x:v>0.24837845518420101</x:v>
      </x:c>
      <x:c r="L19" s="93">
        <x:v>0.65717116887910165</x:v>
      </x:c>
      <x:c r="M19" s="93">
        <x:v>-0.22989163758574238</x:v>
      </x:c>
      <x:c r="N19" s="93">
        <x:v>1.4647786782060577</x:v>
      </x:c>
      <x:c r="O19" s="101">
        <x:v>-0.56466588728852907</x:v>
      </x:c>
      <x:c r="P19" s="42"/>
    </x:row>
    <x:row r="20" s="3" customFormat="1" ht="27" customHeight="1">
      <x:c r="A20" s="80"/>
      <x:c r="B20" s="22" t="s">
        <x:v>85</x:v>
      </x:c>
      <x:c r="C20" s="92">
        <x:v>-4.4270043884965027</x:v>
      </x:c>
      <x:c r="D20" s="92">
        <x:v>-1.1806128364798159E-2</x:v>
      </x:c>
      <x:c r="E20" s="92">
        <x:v>-0.53466213476404734</x:v>
      </x:c>
      <x:c r="F20" s="92">
        <x:v>-0.54646826312884544</x:v>
      </x:c>
      <x:c r="G20" s="92">
        <x:v>4.5397963514487646E-3</x:v>
      </x:c>
      <x:c r="H20" s="92">
        <x:v>1.0591038074022889</x:v>
      </x:c>
      <x:c r="I20" s="92">
        <x:v>1.0636436037537378</x:v>
      </x:c>
      <x:c r="J20" s="92">
        <x:v>-0.1235260805144696</x:v>
      </x:c>
      <x:c r="K20" s="92">
        <x:v>-1.404217105405922</x:v>
      </x:c>
      <x:c r="L20" s="92">
        <x:v>-2.1044509252152239</x:v>
      </x:c>
      <x:c r="M20" s="92">
        <x:v>-3.6321941111356155</x:v>
      </x:c>
      <x:c r="N20" s="92">
        <x:v>-3.1150187705107233</x:v>
      </x:c>
      <x:c r="O20" s="102">
        <x:v>-1.311985617985779</x:v>
      </x:c>
      <x:c r="P20" s="42"/>
    </x:row>
    <x:row r="21" s="3" customFormat="1" ht="27" customHeight="1">
      <x:c r="A21" s="81"/>
      <x:c r="B21" s="7" t="s">
        <x:v>86</x:v>
      </x:c>
      <x:c r="C21" s="93">
        <x:v>2.0357305911566042</x:v>
      </x:c>
      <x:c r="D21" s="93">
        <x:v>-7.6742810394595474E-3</x:v>
      </x:c>
      <x:c r="E21" s="93">
        <x:v>-0.16097472601784549</x:v>
      </x:c>
      <x:c r="F21" s="93">
        <x:v>-0.16864900705730504</x:v>
      </x:c>
      <x:c r="G21" s="93">
        <x:v>0.1002519893204623</x:v>
      </x:c>
      <x:c r="H21" s="93">
        <x:v>4.6775440743243683E-2</x:v>
      </x:c>
      <x:c r="I21" s="93">
        <x:v>0.14702743006370597</x:v>
      </x:c>
      <x:c r="J21" s="93">
        <x:v>5.4242546342811214E-3</x:v>
      </x:c>
      <x:c r="K21" s="93">
        <x:v>0.18540254545892751</x:v>
      </x:c>
      <x:c r="L21" s="93">
        <x:v>0.86683734419611536</x:v>
      </x:c>
      <x:c r="M21" s="93">
        <x:v>1.057664144289324</x:v>
      </x:c>
      <x:c r="N21" s="93">
        <x:v>1.036042567295725</x:v>
      </x:c>
      <x:c r="O21" s="101">
        <x:v>0.99968802386087874</x:v>
      </x:c>
      <x:c r="P21" s="42"/>
    </x:row>
    <x:row r="22" s="3" customFormat="1" ht="27" customHeight="1">
      <x:c r="A22" s="80"/>
      <x:c r="B22" s="22" t="s">
        <x:v>87</x:v>
      </x:c>
      <x:c r="C22" s="92">
        <x:v>0.47568510403204201</x:v>
      </x:c>
      <x:c r="D22" s="92">
        <x:v>-5.31084043490991E-4</x:v>
      </x:c>
      <x:c r="E22" s="92">
        <x:v>-0.30853523710283631</x:v>
      </x:c>
      <x:c r="F22" s="92">
        <x:v>-0.30906632114632732</x:v>
      </x:c>
      <x:c r="G22" s="92">
        <x:v>0.38593201734817711</x:v>
      </x:c>
      <x:c r="H22" s="92">
        <x:v>8.8451855303091367E-2</x:v>
      </x:c>
      <x:c r="I22" s="92">
        <x:v>0.47438387265126847</x:v>
      </x:c>
      <x:c r="J22" s="92">
        <x:v>0.69065632861696657</x:v>
      </x:c>
      <x:c r="K22" s="92">
        <x:v>-0.21168625386670711</x:v>
      </x:c>
      <x:c r="L22" s="92">
        <x:v>-0.64603256458712954</x:v>
      </x:c>
      <x:c r="M22" s="92">
        <x:v>-0.16706248983687011</x:v>
      </x:c>
      <x:c r="N22" s="92">
        <x:v>-1.744938331928958E-3</x:v>
      </x:c>
      <x:c r="O22" s="102">
        <x:v>0.47743004236397102</x:v>
      </x:c>
      <x:c r="P22" s="42"/>
    </x:row>
    <x:row r="23" s="3" customFormat="1" ht="27" customHeight="1">
      <x:c r="A23" s="81"/>
      <x:c r="B23" s="7" t="s">
        <x:v>88</x:v>
      </x:c>
      <x:c r="C23" s="93">
        <x:v>2.2768166664060452</x:v>
      </x:c>
      <x:c r="D23" s="93">
        <x:v>0.37752654142926279</x:v>
      </x:c>
      <x:c r="E23" s="93">
        <x:v>0.64409800462006761</x:v>
      </x:c>
      <x:c r="F23" s="93">
        <x:v>1.0216245460493303</x:v>
      </x:c>
      <x:c r="G23" s="93">
        <x:v>2.0831035068716201E-2</x:v>
      </x:c>
      <x:c r="H23" s="93">
        <x:v>2.0041122330364529</x:v>
      </x:c>
      <x:c r="I23" s="93">
        <x:v>2.0249432681051691</x:v>
      </x:c>
      <x:c r="J23" s="93">
        <x:v>-3.2832727428772912E-2</x:v>
      </x:c>
      <x:c r="K23" s="93">
        <x:v>-9.8552285166788975E-2</x:v>
      </x:c>
      <x:c r="L23" s="93">
        <x:v>0.27304100147928628</x:v>
      </x:c>
      <x:c r="M23" s="93">
        <x:v>0.14165598888372438</x:v>
      </x:c>
      <x:c r="N23" s="93">
        <x:v>3.1882238030382237</x:v>
      </x:c>
      <x:c r="O23" s="101">
        <x:v>-0.91140713663217854</x:v>
      </x:c>
      <x:c r="P23" s="42"/>
    </x:row>
    <x:row r="24" s="3" customFormat="1" ht="27" customHeight="1">
      <x:c r="A24" s="80"/>
      <x:c r="B24" s="22" t="s">
        <x:v>89</x:v>
      </x:c>
      <x:c r="C24" s="92">
        <x:v>2.6143278191403501</x:v>
      </x:c>
      <x:c r="D24" s="92">
        <x:v>-0.66796014025264949</x:v>
      </x:c>
      <x:c r="E24" s="92">
        <x:v>-0.64138735160776927</x:v>
      </x:c>
      <x:c r="F24" s="92">
        <x:v>-1.3093474918604189</x:v>
      </x:c>
      <x:c r="G24" s="92">
        <x:v>0</x:v>
      </x:c>
      <x:c r="H24" s="92">
        <x:v>0</x:v>
      </x:c>
      <x:c r="I24" s="92">
        <x:v>0</x:v>
      </x:c>
      <x:c r="J24" s="92">
        <x:v>-1.485999361062014E-2</x:v>
      </x:c>
      <x:c r="K24" s="92">
        <x:v>-7.7738596081818544E-4</x:v>
      </x:c>
      <x:c r="L24" s="92">
        <x:v>0.7353844356590391</x:v>
      </x:c>
      <x:c r="M24" s="92">
        <x:v>0.71974705608760081</x:v>
      </x:c>
      <x:c r="N24" s="92">
        <x:v>-0.58960043577281807</x:v>
      </x:c>
      <x:c r="O24" s="102">
        <x:v>3.2039282549131678</x:v>
      </x:c>
      <x:c r="P24" s="42"/>
    </x:row>
    <x:row r="25" s="3" customFormat="1" ht="27" customHeight="1">
      <x:c r="A25" s="57"/>
      <x:c r="B25" s="58" t="s">
        <x:v>90</x:v>
      </x:c>
      <x:c r="C25" s="104">
        <x:v>0.42004725773506618</x:v>
      </x:c>
      <x:c r="D25" s="104">
        <x:v>-7.9396116579481785E-2</x:v>
      </x:c>
      <x:c r="E25" s="104">
        <x:v>-9.4221352050962187E-2</x:v>
      </x:c>
      <x:c r="F25" s="104">
        <x:v>-0.17361746863044397</x:v>
      </x:c>
      <x:c r="G25" s="104">
        <x:v>6.1961040240704722E-2</x:v>
      </x:c>
      <x:c r="H25" s="104">
        <x:v>0.68323907644809512</x:v>
      </x:c>
      <x:c r="I25" s="104">
        <x:v>0.74520011668879982</x:v>
      </x:c>
      <x:c r="J25" s="105">
        <x:v>6.394546897793002E-2</x:v>
      </x:c>
      <x:c r="K25" s="105">
        <x:v>-0.27472687618418218</x:v>
      </x:c>
      <x:c r="L25" s="105">
        <x:v>-5.9655319400266388E-2</x:v>
      </x:c>
      <x:c r="M25" s="105">
        <x:v>-0.27043672660651852</x:v>
      </x:c>
      <x:c r="N25" s="105">
        <x:v>0.30114592145183733</x:v>
      </x:c>
      <x:c r="O25" s="106">
        <x:v>0.11890133628322901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b09810e69d444bfc"/>
</x:worksheet>
</file>

<file path=xl/worksheets/sheet18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2018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1.9219204625263939</x:v>
      </x:c>
      <x:c r="D16" s="92">
        <x:v>5.2836354964243097E-2</x:v>
      </x:c>
      <x:c r="E16" s="92">
        <x:v>-0.33873854502395528</x:v>
      </x:c>
      <x:c r="F16" s="92">
        <x:v>-0.28590219005971218</x:v>
      </x:c>
      <x:c r="G16" s="92">
        <x:v>9.1090696205546138E-3</x:v>
      </x:c>
      <x:c r="H16" s="92">
        <x:v>0.30757458142271132</x:v>
      </x:c>
      <x:c r="I16" s="92">
        <x:v>0.31668365104326596</x:v>
      </x:c>
      <x:c r="J16" s="92">
        <x:v>-2.508772481721951E-2</x:v>
      </x:c>
      <x:c r="K16" s="92">
        <x:v>0.69545281116015822</x:v>
      </x:c>
      <x:c r="L16" s="92">
        <x:v>0.2554225365710216</x:v>
      </x:c>
      <x:c r="M16" s="92">
        <x:v>0.92578762291396033</x:v>
      </x:c>
      <x:c r="N16" s="92">
        <x:v>0.95656908389751416</x:v>
      </x:c>
      <x:c r="O16" s="154">
        <x:v>0.9653513786288801</x:v>
      </x:c>
      <x:c r="P16" s="42"/>
    </x:row>
    <x:row r="17" s="3" customFormat="1" ht="27" customHeight="1">
      <x:c r="A17" s="81"/>
      <x:c r="B17" s="7" t="s">
        <x:v>82</x:v>
      </x:c>
      <x:c r="C17" s="93">
        <x:v>-0.46079845607884812</x:v>
      </x:c>
      <x:c r="D17" s="93">
        <x:v>1.209446157269503</x:v>
      </x:c>
      <x:c r="E17" s="93">
        <x:v>1.532353281901528</x:v>
      </x:c>
      <x:c r="F17" s="93">
        <x:v>2.741799439171031</x:v>
      </x:c>
      <x:c r="G17" s="93">
        <x:v>-5.3230806050052013E-3</x:v>
      </x:c>
      <x:c r="H17" s="93">
        <x:v>1.0621082952500389</x:v>
      </x:c>
      <x:c r="I17" s="93">
        <x:v>1.0567852146450336</x:v>
      </x:c>
      <x:c r="J17" s="93">
        <x:v>-1.3180520061593921</x:v>
      </x:c>
      <x:c r="K17" s="93">
        <x:v>0.1325452677459637</x:v>
      </x:c>
      <x:c r="L17" s="93">
        <x:v>1.403610712862936</x:v>
      </x:c>
      <x:c r="M17" s="93">
        <x:v>0.21810397444950769</x:v>
      </x:c>
      <x:c r="N17" s="93">
        <x:v>4.0166886282655723</x:v>
      </x:c>
      <x:c r="O17" s="101">
        <x:v>-4.4774870843444203</x:v>
      </x:c>
      <x:c r="P17" s="42"/>
    </x:row>
    <x:row r="18" s="3" customFormat="1" ht="27" customHeight="1">
      <x:c r="A18" s="80"/>
      <x:c r="B18" s="22" t="s">
        <x:v>83</x:v>
      </x:c>
      <x:c r="C18" s="92">
        <x:v>2.1668714144120749</x:v>
      </x:c>
      <x:c r="D18" s="92">
        <x:v>-2.7160692703582671E-2</x:v>
      </x:c>
      <x:c r="E18" s="92">
        <x:v>0.1397093081230022</x:v>
      </x:c>
      <x:c r="F18" s="92">
        <x:v>0.11254861541941952</x:v>
      </x:c>
      <x:c r="G18" s="92">
        <x:v>7.0943956417024862E-3</x:v>
      </x:c>
      <x:c r="H18" s="92">
        <x:v>0.44016150375166768</x:v>
      </x:c>
      <x:c r="I18" s="92">
        <x:v>0.44725589939337018</x:v>
      </x:c>
      <x:c r="J18" s="92">
        <x:v>0.58971896245938771</x:v>
      </x:c>
      <x:c r="K18" s="92">
        <x:v>1.296844519839055</x:v>
      </x:c>
      <x:c r="L18" s="92">
        <x:v>-0.15501047047952479</x:v>
      </x:c>
      <x:c r="M18" s="92">
        <x:v>1.731553011818918</x:v>
      </x:c>
      <x:c r="N18" s="92">
        <x:v>2.2913575266317077</x:v>
      </x:c>
      <x:c r="O18" s="102">
        <x:v>-0.12448611221963229</x:v>
      </x:c>
      <x:c r="P18" s="42"/>
    </x:row>
    <x:row r="19" s="3" customFormat="1" ht="27" customHeight="1">
      <x:c r="A19" s="81"/>
      <x:c r="B19" s="7" t="s">
        <x:v>84</x:v>
      </x:c>
      <x:c r="C19" s="93">
        <x:v>3.2261744820238469</x:v>
      </x:c>
      <x:c r="D19" s="93">
        <x:v>-5.7872547882275117E-2</x:v>
      </x:c>
      <x:c r="E19" s="93">
        <x:v>0.2484896378669017</x:v>
      </x:c>
      <x:c r="F19" s="93">
        <x:v>0.19061708998462659</x:v>
      </x:c>
      <x:c r="G19" s="93">
        <x:v>2.1858470672769081E-2</x:v>
      </x:c>
      <x:c r="H19" s="93">
        <x:v>1.151883994001252</x:v>
      </x:c>
      <x:c r="I19" s="93">
        <x:v>1.1737424646740211</x:v>
      </x:c>
      <x:c r="J19" s="93">
        <x:v>1.451996022233712</x:v>
      </x:c>
      <x:c r="K19" s="93">
        <x:v>0.18150242049102089</x:v>
      </x:c>
      <x:c r="L19" s="93">
        <x:v>0.42785658034108381</x:v>
      </x:c>
      <x:c r="M19" s="93">
        <x:v>2.0613550230658166</x:v>
      </x:c>
      <x:c r="N19" s="93">
        <x:v>3.425714577724464</x:v>
      </x:c>
      <x:c r="O19" s="101">
        <x:v>-0.19954009570061751</x:v>
      </x:c>
      <x:c r="P19" s="42"/>
    </x:row>
    <x:row r="20" s="3" customFormat="1" ht="27" customHeight="1">
      <x:c r="A20" s="80"/>
      <x:c r="B20" s="22" t="s">
        <x:v>85</x:v>
      </x:c>
      <x:c r="C20" s="92">
        <x:v>-2.2740901075883002</x:v>
      </x:c>
      <x:c r="D20" s="92">
        <x:v>-0.16387870053502779</x:v>
      </x:c>
      <x:c r="E20" s="92">
        <x:v>-0.31860482797554301</x:v>
      </x:c>
      <x:c r="F20" s="92">
        <x:v>-0.4824835285105708</x:v>
      </x:c>
      <x:c r="G20" s="92">
        <x:v>1.665994406243319E-2</x:v>
      </x:c>
      <x:c r="H20" s="92">
        <x:v>-0.32107405221346091</x:v>
      </x:c>
      <x:c r="I20" s="92">
        <x:v>-0.30441410815102771</x:v>
      </x:c>
      <x:c r="J20" s="92">
        <x:v>3.4466474763237352E-2</x:v>
      </x:c>
      <x:c r="K20" s="92">
        <x:v>-0.53341791818500239</x:v>
      </x:c>
      <x:c r="L20" s="92">
        <x:v>-1.28756855724665</x:v>
      </x:c>
      <x:c r="M20" s="92">
        <x:v>-1.786520000668415</x:v>
      </x:c>
      <x:c r="N20" s="92">
        <x:v>-2.5734176373300133</x:v>
      </x:c>
      <x:c r="O20" s="102">
        <x:v>0.29932752974171351</x:v>
      </x:c>
      <x:c r="P20" s="42"/>
    </x:row>
    <x:row r="21" s="3" customFormat="1" ht="27" customHeight="1">
      <x:c r="A21" s="81"/>
      <x:c r="B21" s="7" t="s">
        <x:v>86</x:v>
      </x:c>
      <x:c r="C21" s="93">
        <x:v>2.0954515487411558</x:v>
      </x:c>
      <x:c r="D21" s="93">
        <x:v>5.6563392424956449E-2</x:v>
      </x:c>
      <x:c r="E21" s="93">
        <x:v>-6.9055557827677264E-3</x:v>
      </x:c>
      <x:c r="F21" s="93">
        <x:v>4.9657836642188723E-2</x:v>
      </x:c>
      <x:c r="G21" s="93">
        <x:v>5.6102995044030483E-2</x:v>
      </x:c>
      <x:c r="H21" s="93">
        <x:v>0.1700468274536337</x:v>
      </x:c>
      <x:c r="I21" s="93">
        <x:v>0.22614982249766419</x:v>
      </x:c>
      <x:c r="J21" s="93">
        <x:v>1.624266103484967E-2</x:v>
      </x:c>
      <x:c r="K21" s="93">
        <x:v>0.360816038612713</x:v>
      </x:c>
      <x:c r="L21" s="93">
        <x:v>0.20039476768887479</x:v>
      </x:c>
      <x:c r="M21" s="93">
        <x:v>0.57745346733643743</x:v>
      </x:c>
      <x:c r="N21" s="93">
        <x:v>0.85326112647629038</x:v>
      </x:c>
      <x:c r="O21" s="101">
        <x:v>1.2421904222648661</x:v>
      </x:c>
      <x:c r="P21" s="42"/>
    </x:row>
    <x:row r="22" s="3" customFormat="1" ht="27" customHeight="1">
      <x:c r="A22" s="80"/>
      <x:c r="B22" s="22" t="s">
        <x:v>87</x:v>
      </x:c>
      <x:c r="C22" s="92">
        <x:v>2.9105025072261088</x:v>
      </x:c>
      <x:c r="D22" s="92">
        <x:v>-4.4431219803564632E-2</x:v>
      </x:c>
      <x:c r="E22" s="92">
        <x:v>-0.61153473418672932</x:v>
      </x:c>
      <x:c r="F22" s="92">
        <x:v>-0.655965953990294</x:v>
      </x:c>
      <x:c r="G22" s="92">
        <x:v>0.52368445683695519</x:v>
      </x:c>
      <x:c r="H22" s="92">
        <x:v>0.1989668133560453</x:v>
      </x:c>
      <x:c r="I22" s="92">
        <x:v>0.72265127019300046</x:v>
      </x:c>
      <x:c r="J22" s="92">
        <x:v>0.37235993343799478</x:v>
      </x:c>
      <x:c r="K22" s="92">
        <x:v>-0.120025811833409</x:v>
      </x:c>
      <x:c r="L22" s="92">
        <x:v>1.196626735648584</x:v>
      </x:c>
      <x:c r="M22" s="92">
        <x:v>1.4489608572531698</x:v>
      </x:c>
      <x:c r="N22" s="92">
        <x:v>1.5156461734558762</x:v>
      </x:c>
      <x:c r="O22" s="102">
        <x:v>1.3948563337702331</x:v>
      </x:c>
      <x:c r="P22" s="42"/>
    </x:row>
    <x:row r="23" s="3" customFormat="1" ht="27" customHeight="1">
      <x:c r="A23" s="81"/>
      <x:c r="B23" s="7" t="s">
        <x:v>88</x:v>
      </x:c>
      <x:c r="C23" s="93">
        <x:v>3.431698688602935</x:v>
      </x:c>
      <x:c r="D23" s="93">
        <x:v>0.48842209786581842</x:v>
      </x:c>
      <x:c r="E23" s="93">
        <x:v>0.38358625486160652</x:v>
      </x:c>
      <x:c r="F23" s="93">
        <x:v>0.87200835272742494</x:v>
      </x:c>
      <x:c r="G23" s="93">
        <x:v>0.119380184464463</x:v>
      </x:c>
      <x:c r="H23" s="93">
        <x:v>1.8840732947771599</x:v>
      </x:c>
      <x:c r="I23" s="93">
        <x:v>2.0034534792416228</x:v>
      </x:c>
      <x:c r="J23" s="93">
        <x:v>2.3501391378437961E-3</x:v>
      </x:c>
      <x:c r="K23" s="93">
        <x:v>1.1934773936872289E-3</x:v>
      </x:c>
      <x:c r="L23" s="93">
        <x:v>0.61362821952164359</x:v>
      </x:c>
      <x:c r="M23" s="93">
        <x:v>0.61717183605317461</x:v>
      </x:c>
      <x:c r="N23" s="93">
        <x:v>3.4926336680222221</x:v>
      </x:c>
      <x:c r="O23" s="101">
        <x:v>-6.0934979419286613E-2</x:v>
      </x:c>
      <x:c r="P23" s="42"/>
    </x:row>
    <x:row r="24" s="3" customFormat="1" ht="27" customHeight="1">
      <x:c r="A24" s="80"/>
      <x:c r="B24" s="22" t="s">
        <x:v>89</x:v>
      </x:c>
      <x:c r="C24" s="92">
        <x:v>4.4841587091863921</x:v>
      </x:c>
      <x:c r="D24" s="92">
        <x:v>0.93395200959464986</x:v>
      </x:c>
      <x:c r="E24" s="92">
        <x:v>1.1056525262955079</x:v>
      </x:c>
      <x:c r="F24" s="92">
        <x:v>2.0396045358901578</x:v>
      </x:c>
      <x:c r="G24" s="92">
        <x:v>0</x:v>
      </x:c>
      <x:c r="H24" s="92">
        <x:v>0</x:v>
      </x:c>
      <x:c r="I24" s="92">
        <x:v>0</x:v>
      </x:c>
      <x:c r="J24" s="92">
        <x:v>4.1703912933260201E-2</x:v>
      </x:c>
      <x:c r="K24" s="92">
        <x:v>0.1497031818410389</x:v>
      </x:c>
      <x:c r="L24" s="92">
        <x:v>1.7691214270222799</x:v>
      </x:c>
      <x:c r="M24" s="92">
        <x:v>1.9605285217965791</x:v>
      </x:c>
      <x:c r="N24" s="92">
        <x:v>4.0001330576867371</x:v>
      </x:c>
      <x:c r="O24" s="102">
        <x:v>0.48402565149965499</x:v>
      </x:c>
      <x:c r="P24" s="42"/>
    </x:row>
    <x:row r="25" s="3" customFormat="1" ht="27" customHeight="1">
      <x:c r="A25" s="25"/>
      <x:c r="B25" s="58" t="s">
        <x:v>90</x:v>
      </x:c>
      <x:c r="C25" s="104">
        <x:v>2.2434694420308801</x:v>
      </x:c>
      <x:c r="D25" s="104">
        <x:v>0.28299606556948959</x:v>
      </x:c>
      <x:c r="E25" s="104">
        <x:v>0.26423984447512139</x:v>
      </x:c>
      <x:c r="F25" s="104">
        <x:v>0.54723591004461092</x:v>
      </x:c>
      <x:c r="G25" s="104">
        <x:v>7.5768091272740271E-2</x:v>
      </x:c>
      <x:c r="H25" s="104">
        <x:v>0.51010409640603727</x:v>
      </x:c>
      <x:c r="I25" s="104">
        <x:v>0.58587218767877758</x:v>
      </x:c>
      <x:c r="J25" s="105">
        <x:v>0.144902216448445</x:v>
      </x:c>
      <x:c r="K25" s="105">
        <x:v>0.33958821021620461</x:v>
      </x:c>
      <x:c r="L25" s="105">
        <x:v>0.47070680769723322</x:v>
      </x:c>
      <x:c r="M25" s="105">
        <x:v>0.95519723436188286</x:v>
      </x:c>
      <x:c r="N25" s="105">
        <x:v>2.0883053320852714</x:v>
      </x:c>
      <x:c r="O25" s="106">
        <x:v>0.15516410994560861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13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8098e5d967934fb9"/>
</x:worksheet>
</file>

<file path=xl/worksheets/sheet19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2019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3.377299599853512</x:v>
      </x:c>
      <x:c r="D16" s="92">
        <x:v>-0.20624957993020929</x:v>
      </x:c>
      <x:c r="E16" s="92">
        <x:v>-1.567971078933853</x:v>
      </x:c>
      <x:c r="F16" s="92">
        <x:v>-1.7742206588640623</x:v>
      </x:c>
      <x:c r="G16" s="92">
        <x:v>1.0720411191708671E-2</x:v>
      </x:c>
      <x:c r="H16" s="92">
        <x:v>0.49392760748468051</x:v>
      </x:c>
      <x:c r="I16" s="92">
        <x:v>0.5046480186763892</x:v>
      </x:c>
      <x:c r="J16" s="92">
        <x:v>-3.4051200654385307E-2</x:v>
      </x:c>
      <x:c r="K16" s="92">
        <x:v>1.008822427316711</x:v>
      </x:c>
      <x:c r="L16" s="92">
        <x:v>0.70677517976155735</x:v>
      </x:c>
      <x:c r="M16" s="92">
        <x:v>1.681546406423883</x:v>
      </x:c>
      <x:c r="N16" s="92">
        <x:v>0.41197376623620996</x:v>
      </x:c>
      <x:c r="O16" s="154">
        <x:v>2.9653258336173018</x:v>
      </x:c>
      <x:c r="P16" s="42"/>
    </x:row>
    <x:row r="17" s="3" customFormat="1" ht="27" customHeight="1">
      <x:c r="A17" s="81"/>
      <x:c r="B17" s="7" t="s">
        <x:v>82</x:v>
      </x:c>
      <x:c r="C17" s="93">
        <x:v>1.781628376146926</x:v>
      </x:c>
      <x:c r="D17" s="93">
        <x:v>0.81516040651615074</x:v>
      </x:c>
      <x:c r="E17" s="93">
        <x:v>-7.9723071467965104E-2</x:v>
      </x:c>
      <x:c r="F17" s="93">
        <x:v>0.73543733504818565</x:v>
      </x:c>
      <x:c r="G17" s="93">
        <x:v>0.26403656322078989</x:v>
      </x:c>
      <x:c r="H17" s="93">
        <x:v>1.148965334836366</x:v>
      </x:c>
      <x:c r="I17" s="93">
        <x:v>1.4130018980571559</x:v>
      </x:c>
      <x:c r="J17" s="93">
        <x:v>0.36680300435639429</x:v>
      </x:c>
      <x:c r="K17" s="93">
        <x:v>-9.0262350031910712E-3</x:v>
      </x:c>
      <x:c r="L17" s="93">
        <x:v>0.35478369488089628</x:v>
      </x:c>
      <x:c r="M17" s="93">
        <x:v>0.71256046423409947</x:v>
      </x:c>
      <x:c r="N17" s="93">
        <x:v>2.8609996973394409</x:v>
      </x:c>
      <x:c r="O17" s="101">
        <x:v>-1.079371321192514</x:v>
      </x:c>
      <x:c r="P17" s="42"/>
    </x:row>
    <x:row r="18" s="3" customFormat="1" ht="27" customHeight="1">
      <x:c r="A18" s="80"/>
      <x:c r="B18" s="22" t="s">
        <x:v>83</x:v>
      </x:c>
      <x:c r="C18" s="92">
        <x:v>1.0480175646749861</x:v>
      </x:c>
      <x:c r="D18" s="92">
        <x:v>5.4034189976942472E-4</x:v>
      </x:c>
      <x:c r="E18" s="92">
        <x:v>-0.15071992634643491</x:v>
      </x:c>
      <x:c r="F18" s="92">
        <x:v>-0.15017958444666549</x:v>
      </x:c>
      <x:c r="G18" s="92">
        <x:v>1.2152077682495811E-2</x:v>
      </x:c>
      <x:c r="H18" s="92">
        <x:v>0.48455247380159372</x:v>
      </x:c>
      <x:c r="I18" s="92">
        <x:v>0.49670455148408954</x:v>
      </x:c>
      <x:c r="J18" s="92">
        <x:v>1.155984116892194E-2</x:v>
      </x:c>
      <x:c r="K18" s="92">
        <x:v>0.61423366651086198</x:v>
      </x:c>
      <x:c r="L18" s="92">
        <x:v>8.6526674041132096E-2</x:v>
      </x:c>
      <x:c r="M18" s="92">
        <x:v>0.71232018172091605</x:v>
      </x:c>
      <x:c r="N18" s="92">
        <x:v>1.0588451487583399</x:v>
      </x:c>
      <x:c r="O18" s="102">
        <x:v>-1.0827584083354489E-2</x:v>
      </x:c>
      <x:c r="P18" s="42"/>
    </x:row>
    <x:row r="19" s="3" customFormat="1" ht="27" customHeight="1">
      <x:c r="A19" s="81"/>
      <x:c r="B19" s="7" t="s">
        <x:v>84</x:v>
      </x:c>
      <x:c r="C19" s="93">
        <x:v>3.2788736180060059</x:v>
      </x:c>
      <x:c r="D19" s="93">
        <x:v>0.26622643710423749</x:v>
      </x:c>
      <x:c r="E19" s="93">
        <x:v>0.28100346380345942</x:v>
      </x:c>
      <x:c r="F19" s="93">
        <x:v>0.54722990090769685</x:v>
      </x:c>
      <x:c r="G19" s="93">
        <x:v>1.4293779233445429E-2</x:v>
      </x:c>
      <x:c r="H19" s="93">
        <x:v>0.73575534894807626</x:v>
      </x:c>
      <x:c r="I19" s="93">
        <x:v>0.7500491281815217</x:v>
      </x:c>
      <x:c r="J19" s="93">
        <x:v>1.044972064917892</x:v>
      </x:c>
      <x:c r="K19" s="93">
        <x:v>0.1276728227470649</x:v>
      </x:c>
      <x:c r="L19" s="93">
        <x:v>0.7886121614788949</x:v>
      </x:c>
      <x:c r="M19" s="93">
        <x:v>1.9612570491438519</x:v>
      </x:c>
      <x:c r="N19" s="93">
        <x:v>3.2585360782330701</x:v>
      </x:c>
      <x:c r="O19" s="101">
        <x:v>2.0337539772936179E-2</x:v>
      </x:c>
      <x:c r="P19" s="42"/>
    </x:row>
    <x:row r="20" s="3" customFormat="1" ht="27" customHeight="1">
      <x:c r="A20" s="80"/>
      <x:c r="B20" s="22" t="s">
        <x:v>85</x:v>
      </x:c>
      <x:c r="C20" s="92">
        <x:v>-2.9654651763243218</x:v>
      </x:c>
      <x:c r="D20" s="92">
        <x:v>-0.17879150188140699</x:v>
      </x:c>
      <x:c r="E20" s="92">
        <x:v>0.48426796864627852</x:v>
      </x:c>
      <x:c r="F20" s="92">
        <x:v>0.3054764667648715</x:v>
      </x:c>
      <x:c r="G20" s="92">
        <x:v>1.8799412491270279E-2</x:v>
      </x:c>
      <x:c r="H20" s="92">
        <x:v>0.29318852412093638</x:v>
      </x:c>
      <x:c r="I20" s="92">
        <x:v>0.31198793661220664</x:v>
      </x:c>
      <x:c r="J20" s="92">
        <x:v>-6.7139226761125187E-2</x:v>
      </x:c>
      <x:c r="K20" s="92">
        <x:v>0.40335541025552701</x:v>
      </x:c>
      <x:c r="L20" s="92">
        <x:v>-1.7641372233524639</x:v>
      </x:c>
      <x:c r="M20" s="92">
        <x:v>-1.4279210398580622</x:v>
      </x:c>
      <x:c r="N20" s="92">
        <x:v>-0.81045663648098398</x:v>
      </x:c>
      <x:c r="O20" s="102">
        <x:v>-2.155008539843339</x:v>
      </x:c>
      <x:c r="P20" s="42"/>
    </x:row>
    <x:row r="21" s="3" customFormat="1" ht="27" customHeight="1">
      <x:c r="A21" s="81"/>
      <x:c r="B21" s="7" t="s">
        <x:v>86</x:v>
      </x:c>
      <x:c r="C21" s="93">
        <x:v>2.919909100467954</x:v>
      </x:c>
      <x:c r="D21" s="93">
        <x:v>9.9538055521150456E-2</x:v>
      </x:c>
      <x:c r="E21" s="93">
        <x:v>1.4894947501221401</x:v>
      </x:c>
      <x:c r="F21" s="93">
        <x:v>1.5890328056432905</x:v>
      </x:c>
      <x:c r="G21" s="93">
        <x:v>0.1855535849522959</x:v>
      </x:c>
      <x:c r="H21" s="93">
        <x:v>0.26690322648787829</x:v>
      </x:c>
      <x:c r="I21" s="93">
        <x:v>0.45245681144017419</x:v>
      </x:c>
      <x:c r="J21" s="93">
        <x:v>6.8503567659212561E-2</x:v>
      </x:c>
      <x:c r="K21" s="93">
        <x:v>-3.4941849784822537E-2</x:v>
      </x:c>
      <x:c r="L21" s="93">
        <x:v>0.78181637964540662</x:v>
      </x:c>
      <x:c r="M21" s="93">
        <x:v>0.81537809751979662</x:v>
      </x:c>
      <x:c r="N21" s="93">
        <x:v>2.8568677146032613</x:v>
      </x:c>
      <x:c r="O21" s="101">
        <x:v>6.3041385864692767E-2</x:v>
      </x:c>
      <x:c r="P21" s="42"/>
    </x:row>
    <x:row r="22" s="3" customFormat="1" ht="27" customHeight="1">
      <x:c r="A22" s="80"/>
      <x:c r="B22" s="22" t="s">
        <x:v>87</x:v>
      </x:c>
      <x:c r="C22" s="92">
        <x:v>1.834649449113712</x:v>
      </x:c>
      <x:c r="D22" s="92">
        <x:v>0.23675324672850331</x:v>
      </x:c>
      <x:c r="E22" s="92">
        <x:v>0.27761082636929663</x:v>
      </x:c>
      <x:c r="F22" s="92">
        <x:v>0.51436407309779997</x:v>
      </x:c>
      <x:c r="G22" s="92">
        <x:v>0.38178431052763362</x:v>
      </x:c>
      <x:c r="H22" s="92">
        <x:v>0.28965945040521668</x:v>
      </x:c>
      <x:c r="I22" s="92">
        <x:v>0.6714437609328503</x:v>
      </x:c>
      <x:c r="J22" s="92">
        <x:v>0.35714409327258861</x:v>
      </x:c>
      <x:c r="K22" s="92">
        <x:v>2.3020447643501061E-2</x:v>
      </x:c>
      <x:c r="L22" s="92">
        <x:v>0.1987106627091636</x:v>
      </x:c>
      <x:c r="M22" s="92">
        <x:v>0.57887520362525335</x:v>
      </x:c>
      <x:c r="N22" s="92">
        <x:v>1.7646830376559035</x:v>
      </x:c>
      <x:c r="O22" s="102">
        <x:v>6.9966411457808686E-2</x:v>
      </x:c>
      <x:c r="P22" s="42"/>
    </x:row>
    <x:row r="23" s="3" customFormat="1" ht="27" customHeight="1">
      <x:c r="A23" s="81"/>
      <x:c r="B23" s="7" t="s">
        <x:v>88</x:v>
      </x:c>
      <x:c r="C23" s="93">
        <x:v>3.4230225091468109</x:v>
      </x:c>
      <x:c r="D23" s="93">
        <x:v>0.35961952668960478</x:v>
      </x:c>
      <x:c r="E23" s="93">
        <x:v>0.64445332480705886</x:v>
      </x:c>
      <x:c r="F23" s="93">
        <x:v>1.0040728514966637</x:v>
      </x:c>
      <x:c r="G23" s="93">
        <x:v>0.14549374961676981</x:v>
      </x:c>
      <x:c r="H23" s="93">
        <x:v>1.59680465256625</x:v>
      </x:c>
      <x:c r="I23" s="93">
        <x:v>1.7422984021830199</x:v>
      </x:c>
      <x:c r="J23" s="93">
        <x:v>6.049699520339822E-3</x:v>
      </x:c>
      <x:c r="K23" s="93">
        <x:v>-6.0900092583547942E-2</x:v>
      </x:c>
      <x:c r="L23" s="93">
        <x:v>0.62516536081699359</x:v>
      </x:c>
      <x:c r="M23" s="93">
        <x:v>0.57031496775378543</x:v>
      </x:c>
      <x:c r="N23" s="93">
        <x:v>3.3166862214334691</x:v>
      </x:c>
      <x:c r="O23" s="101">
        <x:v>0.10633628771334221</x:v>
      </x:c>
      <x:c r="P23" s="42"/>
    </x:row>
    <x:row r="24" s="3" customFormat="1" ht="27" customHeight="1">
      <x:c r="A24" s="80"/>
      <x:c r="B24" s="22" t="s">
        <x:v>89</x:v>
      </x:c>
      <x:c r="C24" s="92">
        <x:v>6.2476242874908827</x:v>
      </x:c>
      <x:c r="D24" s="92">
        <x:v>0.65897314765127479</x:v>
      </x:c>
      <x:c r="E24" s="92">
        <x:v>1.633825528130127</x:v>
      </x:c>
      <x:c r="F24" s="92">
        <x:v>2.2927986757814018</x:v>
      </x:c>
      <x:c r="G24" s="92">
        <x:v>0</x:v>
      </x:c>
      <x:c r="H24" s="92">
        <x:v>0</x:v>
      </x:c>
      <x:c r="I24" s="92">
        <x:v>0</x:v>
      </x:c>
      <x:c r="J24" s="92">
        <x:v>5.1961244446366198E-2</x:v>
      </x:c>
      <x:c r="K24" s="92">
        <x:v>0.40507866418753391</x:v>
      </x:c>
      <x:c r="L24" s="92">
        <x:v>2.2683238362977209</x:v>
      </x:c>
      <x:c r="M24" s="92">
        <x:v>2.725363744931621</x:v>
      </x:c>
      <x:c r="N24" s="92">
        <x:v>5.0181624207130229</x:v>
      </x:c>
      <x:c r="O24" s="102">
        <x:v>1.2294618667778601</x:v>
      </x:c>
      <x:c r="P24" s="42"/>
    </x:row>
    <x:row r="25" s="3" customFormat="1" ht="27" customHeight="1">
      <x:c r="A25" s="57"/>
      <x:c r="B25" s="58" t="s">
        <x:v>90</x:v>
      </x:c>
      <x:c r="C25" s="104">
        <x:v>2.4982869345136098</x:v>
      </x:c>
      <x:c r="D25" s="104">
        <x:v>0.23025826505243091</x:v>
      </x:c>
      <x:c r="E25" s="104">
        <x:v>0.5289369954191494</x:v>
      </x:c>
      <x:c r="F25" s="104">
        <x:v>0.75919526047158037</x:v>
      </x:c>
      <x:c r="G25" s="104">
        <x:v>0.1006615339650932</x:v>
      </x:c>
      <x:c r="H25" s="104">
        <x:v>0.55828491773661604</x:v>
      </x:c>
      <x:c r="I25" s="104">
        <x:v>0.65894645170170918</x:v>
      </x:c>
      <x:c r="J25" s="105">
        <x:v>0.10206727504726661</x:v>
      </x:c>
      <x:c r="K25" s="105">
        <x:v>0.28686450349430148</x:v>
      </x:c>
      <x:c r="L25" s="105">
        <x:v>0.54665210313150359</x:v>
      </x:c>
      <x:c r="M25" s="105">
        <x:v>0.93558388167307172</x:v>
      </x:c>
      <x:c r="N25" s="105">
        <x:v>2.3537255938463613</x:v>
      </x:c>
      <x:c r="O25" s="106">
        <x:v>0.1445613406672486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c0b674724c674796"/>
</x:worksheet>
</file>

<file path=xl/worksheets/sheet20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2020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2.5729233526083028</x:v>
      </x:c>
      <x:c r="D16" s="92">
        <x:v>8.2671814714184402E-2</x:v>
      </x:c>
      <x:c r="E16" s="92">
        <x:v>-2.5432614503525319</x:v>
      </x:c>
      <x:c r="F16" s="92">
        <x:v>-2.4605896356383474</x:v>
      </x:c>
      <x:c r="G16" s="92">
        <x:v>8.1605711242689442E-3</x:v>
      </x:c>
      <x:c r="H16" s="92">
        <x:v>0.29559787579117169</x:v>
      </x:c>
      <x:c r="I16" s="92">
        <x:v>0.30375844691544063</x:v>
      </x:c>
      <x:c r="J16" s="92">
        <x:v>5.095574535579956E-2</x:v>
      </x:c>
      <x:c r="K16" s="92">
        <x:v>1.2056616537814671</x:v>
      </x:c>
      <x:c r="L16" s="92">
        <x:v>8.3290862483800437E-2</x:v>
      </x:c>
      <x:c r="M16" s="92">
        <x:v>1.3399082616210671</x:v>
      </x:c>
      <x:c r="N16" s="92">
        <x:v>-0.81692292710183967</x:v>
      </x:c>
      <x:c r="O16" s="154">
        <x:v>3.389846279710143</x:v>
      </x:c>
      <x:c r="P16" s="42"/>
    </x:row>
    <x:row r="17" s="3" customFormat="1" ht="27" customHeight="1">
      <x:c r="A17" s="81"/>
      <x:c r="B17" s="7" t="s">
        <x:v>82</x:v>
      </x:c>
      <x:c r="C17" s="93">
        <x:v>-14.519754043827421</x:v>
      </x:c>
      <x:c r="D17" s="93">
        <x:v>0.13411449728159891</x:v>
      </x:c>
      <x:c r="E17" s="93">
        <x:v>-0.91297923707572881</x:v>
      </x:c>
      <x:c r="F17" s="93">
        <x:v>-0.77886473979412996</x:v>
      </x:c>
      <x:c r="G17" s="93">
        <x:v>0.18064136829945421</x:v>
      </x:c>
      <x:c r="H17" s="93">
        <x:v>3.9969538967929027E-2</x:v>
      </x:c>
      <x:c r="I17" s="93">
        <x:v>0.22061090726738325</x:v>
      </x:c>
      <x:c r="J17" s="93">
        <x:v>-1.2130290184915331</x:v>
      </x:c>
      <x:c r="K17" s="93">
        <x:v>-0.25956292554068572</x:v>
      </x:c>
      <x:c r="L17" s="93">
        <x:v>-4.0056131657587022</x:v>
      </x:c>
      <x:c r="M17" s="93">
        <x:v>-5.4782051097909212</x:v>
      </x:c>
      <x:c r="N17" s="93">
        <x:v>-6.0364589423176671</x:v>
      </x:c>
      <x:c r="O17" s="101">
        <x:v>-8.4832951015097482</x:v>
      </x:c>
      <x:c r="P17" s="42"/>
    </x:row>
    <x:row r="18" s="3" customFormat="1" ht="27" customHeight="1">
      <x:c r="A18" s="80"/>
      <x:c r="B18" s="22" t="s">
        <x:v>83</x:v>
      </x:c>
      <x:c r="C18" s="92">
        <x:v>-7.0160958947990792</x:v>
      </x:c>
      <x:c r="D18" s="92">
        <x:v>0.59004865135946649</x:v>
      </x:c>
      <x:c r="E18" s="92">
        <x:v>-1.900630304457156</x:v>
      </x:c>
      <x:c r="F18" s="92">
        <x:v>-1.3105816530976895</x:v>
      </x:c>
      <x:c r="G18" s="92">
        <x:v>8.3557701612605242E-3</x:v>
      </x:c>
      <x:c r="H18" s="92">
        <x:v>0.1942481815914604</x:v>
      </x:c>
      <x:c r="I18" s="92">
        <x:v>0.20260395175272092</x:v>
      </x:c>
      <x:c r="J18" s="92">
        <x:v>-1.153370494732</x:v>
      </x:c>
      <x:c r="K18" s="92">
        <x:v>-1.9667829685243079</x:v>
      </x:c>
      <x:c r="L18" s="92">
        <x:v>-0.85793974641146742</x:v>
      </x:c>
      <x:c r="M18" s="92">
        <x:v>-3.9780932096677755</x:v>
      </x:c>
      <x:c r="N18" s="92">
        <x:v>-5.0860709110127438</x:v>
      </x:c>
      <x:c r="O18" s="102">
        <x:v>-1.930024983786335</x:v>
      </x:c>
      <x:c r="P18" s="42"/>
    </x:row>
    <x:row r="19" s="3" customFormat="1" ht="27" customHeight="1">
      <x:c r="A19" s="81"/>
      <x:c r="B19" s="7" t="s">
        <x:v>84</x:v>
      </x:c>
      <x:c r="C19" s="93">
        <x:v>-1.700895896874943</x:v>
      </x:c>
      <x:c r="D19" s="93">
        <x:v>-8.4050460259069398E-2</x:v>
      </x:c>
      <x:c r="E19" s="93">
        <x:v>3.3171113442277259E-2</x:v>
      </x:c>
      <x:c r="F19" s="93">
        <x:v>-5.087934681679214E-2</x:v>
      </x:c>
      <x:c r="G19" s="93">
        <x:v>6.362299906970988E-3</x:v>
      </x:c>
      <x:c r="H19" s="93">
        <x:v>6.7501007139029442E-2</x:v>
      </x:c>
      <x:c r="I19" s="93">
        <x:v>7.3863307046000429E-2</x:v>
      </x:c>
      <x:c r="J19" s="93">
        <x:v>-0.84923516087059892</x:v>
      </x:c>
      <x:c r="K19" s="93">
        <x:v>0.12890477051969801</x:v>
      </x:c>
      <x:c r="L19" s="93">
        <x:v>-0.12642327862485511</x:v>
      </x:c>
      <x:c r="M19" s="93">
        <x:v>-0.84675366897575599</x:v>
      </x:c>
      <x:c r="N19" s="93">
        <x:v>-0.82376970874654776</x:v>
      </x:c>
      <x:c r="O19" s="101">
        <x:v>-0.87712618812839538</x:v>
      </x:c>
      <x:c r="P19" s="42"/>
    </x:row>
    <x:row r="20" s="3" customFormat="1" ht="27" customHeight="1">
      <x:c r="A20" s="80"/>
      <x:c r="B20" s="22" t="s">
        <x:v>85</x:v>
      </x:c>
      <x:c r="C20" s="92">
        <x:v>-31.164135471681661</x:v>
      </x:c>
      <x:c r="D20" s="92">
        <x:v>0.49556655391842708</x:v>
      </x:c>
      <x:c r="E20" s="92">
        <x:v>-3.370244296240652</x:v>
      </x:c>
      <x:c r="F20" s="92">
        <x:v>-2.8746777423222252</x:v>
      </x:c>
      <x:c r="G20" s="92">
        <x:v>1.1380352181258069E-2</x:v>
      </x:c>
      <x:c r="H20" s="92">
        <x:v>-0.51727126182492866</x:v>
      </x:c>
      <x:c r="I20" s="92">
        <x:v>-0.50589090964367056</x:v>
      </x:c>
      <x:c r="J20" s="92">
        <x:v>-0.22772772455452131</x:v>
      </x:c>
      <x:c r="K20" s="92">
        <x:v>-10.36651175319567</x:v>
      </x:c>
      <x:c r="L20" s="92">
        <x:v>-7.4276631199988126</x:v>
      </x:c>
      <x:c r="M20" s="92">
        <x:v>-18.021902597749005</x:v>
      </x:c>
      <x:c r="N20" s="92">
        <x:v>-21.4024712497149</x:v>
      </x:c>
      <x:c r="O20" s="102">
        <x:v>-9.7616642219667646</x:v>
      </x:c>
      <x:c r="P20" s="42"/>
    </x:row>
    <x:row r="21" s="3" customFormat="1" ht="27" customHeight="1">
      <x:c r="A21" s="81"/>
      <x:c r="B21" s="7" t="s">
        <x:v>86</x:v>
      </x:c>
      <x:c r="C21" s="93">
        <x:v>-11.51822752059282</x:v>
      </x:c>
      <x:c r="D21" s="93">
        <x:v>1.068033621871074</x:v>
      </x:c>
      <x:c r="E21" s="93">
        <x:v>-9.2668199563729114</x:v>
      </x:c>
      <x:c r="F21" s="93">
        <x:v>-8.1987863345018379</x:v>
      </x:c>
      <x:c r="G21" s="93">
        <x:v>0.12473802872643611</x:v>
      </x:c>
      <x:c r="H21" s="93">
        <x:v>-3.1022724933206071E-3</x:v>
      </x:c>
      <x:c r="I21" s="93">
        <x:v>0.1216357562331155</x:v>
      </x:c>
      <x:c r="J21" s="93">
        <x:v>-0.1464992970848604</x:v>
      </x:c>
      <x:c r="K21" s="93">
        <x:v>-3.7002343466480458</x:v>
      </x:c>
      <x:c r="L21" s="93">
        <x:v>-1.5475464772291201</x:v>
      </x:c>
      <x:c r="M21" s="93">
        <x:v>-5.3942801209620264</x:v>
      </x:c>
      <x:c r="N21" s="93">
        <x:v>-13.471430699230748</x:v>
      </x:c>
      <x:c r="O21" s="101">
        <x:v>1.9532031786379309</x:v>
      </x:c>
      <x:c r="P21" s="42"/>
    </x:row>
    <x:row r="22" s="3" customFormat="1" ht="27" customHeight="1">
      <x:c r="A22" s="80"/>
      <x:c r="B22" s="22" t="s">
        <x:v>87</x:v>
      </x:c>
      <x:c r="C22" s="92">
        <x:v>-17.144790784262391</x:v>
      </x:c>
      <x:c r="D22" s="92">
        <x:v>0.30934048920330282</x:v>
      </x:c>
      <x:c r="E22" s="92">
        <x:v>-7.8676287739443742</x:v>
      </x:c>
      <x:c r="F22" s="92">
        <x:v>-7.5582882847410717</x:v>
      </x:c>
      <x:c r="G22" s="92">
        <x:v>0.25033540649907488</x:v>
      </x:c>
      <x:c r="H22" s="92">
        <x:v>-6.8491685544560574E-2</x:v>
      </x:c>
      <x:c r="I22" s="92">
        <x:v>0.18184372095451429</x:v>
      </x:c>
      <x:c r="J22" s="92">
        <x:v>-2.898035625350194</x:v>
      </x:c>
      <x:c r="K22" s="92">
        <x:v>-0.63312091469674592</x:v>
      </x:c>
      <x:c r="L22" s="92">
        <x:v>-5.1660391102249754</x:v>
      </x:c>
      <x:c r="M22" s="92">
        <x:v>-8.6971956502719152</x:v>
      </x:c>
      <x:c r="N22" s="92">
        <x:v>-16.073640214058472</x:v>
      </x:c>
      <x:c r="O22" s="102">
        <x:v>-1.071150570203915</x:v>
      </x:c>
      <x:c r="P22" s="42"/>
    </x:row>
    <x:row r="23" s="3" customFormat="1" ht="27" customHeight="1">
      <x:c r="A23" s="81"/>
      <x:c r="B23" s="7" t="s">
        <x:v>88</x:v>
      </x:c>
      <x:c r="C23" s="93">
        <x:v>-0.79890092778152066</x:v>
      </x:c>
      <x:c r="D23" s="93">
        <x:v>0.60452907977660797</x:v>
      </x:c>
      <x:c r="E23" s="93">
        <x:v>-2.8934489964249388</x:v>
      </x:c>
      <x:c r="F23" s="93">
        <x:v>-2.2889199166483309</x:v>
      </x:c>
      <x:c r="G23" s="93">
        <x:v>0.10702080530427741</x:v>
      </x:c>
      <x:c r="H23" s="93">
        <x:v>0.88025412947790249</x:v>
      </x:c>
      <x:c r="I23" s="93">
        <x:v>0.98727493478217987</x:v>
      </x:c>
      <x:c r="J23" s="93">
        <x:v>-1.5472009465653431E-2</x:v>
      </x:c>
      <x:c r="K23" s="93">
        <x:v>-5.7970479110268328E-2</x:v>
      </x:c>
      <x:c r="L23" s="93">
        <x:v>-0.1083280851536832</x:v>
      </x:c>
      <x:c r="M23" s="93">
        <x:v>-0.18177057372960495</x:v>
      </x:c>
      <x:c r="N23" s="93">
        <x:v>-1.483415555595756</x:v>
      </x:c>
      <x:c r="O23" s="101">
        <x:v>0.68451462781423555</x:v>
      </x:c>
      <x:c r="P23" s="42"/>
    </x:row>
    <x:row r="24" s="3" customFormat="1" ht="27" customHeight="1">
      <x:c r="A24" s="80"/>
      <x:c r="B24" s="22" t="s">
        <x:v>89</x:v>
      </x:c>
      <x:c r="C24" s="92">
        <x:v>-4.3725902103610714</x:v>
      </x:c>
      <x:c r="D24" s="92">
        <x:v>4.0758843726194289</x:v>
      </x:c>
      <x:c r="E24" s="92">
        <x:v>-7.3065749233927546</x:v>
      </x:c>
      <x:c r="F24" s="92">
        <x:v>-3.2306905507733257</x:v>
      </x:c>
      <x:c r="G24" s="92">
        <x:v>0</x:v>
      </x:c>
      <x:c r="H24" s="92">
        <x:v>0</x:v>
      </x:c>
      <x:c r="I24" s="92">
        <x:v>0</x:v>
      </x:c>
      <x:c r="J24" s="92">
        <x:v>-9.8473669311969408E-2</x:v>
      </x:c>
      <x:c r="K24" s="92">
        <x:v>-0.31191916144869158</x:v>
      </x:c>
      <x:c r="L24" s="92">
        <x:v>-2.996114433189847</x:v>
      </x:c>
      <x:c r="M24" s="92">
        <x:v>-3.4065072639505081</x:v>
      </x:c>
      <x:c r="N24" s="92">
        <x:v>-6.6371978147238337</x:v>
      </x:c>
      <x:c r="O24" s="102">
        <x:v>2.2646076043627619</x:v>
      </x:c>
      <x:c r="P24" s="42"/>
    </x:row>
    <x:row r="25" s="3" customFormat="1" ht="27" customHeight="1">
      <x:c r="A25" s="25"/>
      <x:c r="B25" s="58" t="s">
        <x:v>90</x:v>
      </x:c>
      <x:c r="C25" s="104">
        <x:v>-8.5546525681636627</x:v>
      </x:c>
      <x:c r="D25" s="104">
        <x:v>1.1630240310967359</x:v>
      </x:c>
      <x:c r="E25" s="104">
        <x:v>-4.5313274590561434</x:v>
      </x:c>
      <x:c r="F25" s="104">
        <x:v>-3.3683034279594075</x:v>
      </x:c>
      <x:c r="G25" s="104">
        <x:v>6.6968081951095174E-2</x:v>
      </x:c>
      <x:c r="H25" s="104">
        <x:v>0.1565391949850127</x:v>
      </x:c>
      <x:c r="I25" s="104">
        <x:v>0.22350727693610789</x:v>
      </x:c>
      <x:c r="J25" s="105">
        <x:v>-0.63272493459964441</x:v>
      </x:c>
      <x:c r="K25" s="105">
        <x:v>-1.817605257427207</x:v>
      </x:c>
      <x:c r="L25" s="105">
        <x:v>-2.1799253405103478</x:v>
      </x:c>
      <x:c r="M25" s="105">
        <x:v>-4.6302555325371992</x:v>
      </x:c>
      <x:c r="N25" s="105">
        <x:v>-7.7750516835604992</x:v>
      </x:c>
      <x:c r="O25" s="106">
        <x:v>-0.77960088460316379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13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76f693cd0ee44e87"/>
</x:worksheet>
</file>

<file path=xl/worksheets/sheet21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2021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5.600000381469727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92">
        <x:v>3.596780554619627</x:v>
      </x:c>
      <x:c r="D16" s="92">
        <x:v>-0.33184772446327471</x:v>
      </x:c>
      <x:c r="E16" s="92">
        <x:v>1.439426029834574</x:v>
      </x:c>
      <x:c r="F16" s="92">
        <x:v>1.1075783053712993</x:v>
      </x:c>
      <x:c r="G16" s="92">
        <x:v>1.010108283337147E-2</x:v>
      </x:c>
      <x:c r="H16" s="92">
        <x:v>0.37498237484214758</x:v>
      </x:c>
      <x:c r="I16" s="92">
        <x:v>0.38508345767551905</x:v>
      </x:c>
      <x:c r="J16" s="92">
        <x:v>4.4292266737945257E-2</x:v>
      </x:c>
      <x:c r="K16" s="92">
        <x:v>1.2378468387810571</x:v>
      </x:c>
      <x:c r="L16" s="92">
        <x:v>-0.38277383463335479</x:v>
      </x:c>
      <x:c r="M16" s="92">
        <x:v>0.89936527088564755</x:v>
      </x:c>
      <x:c r="N16" s="92">
        <x:v>2.3920270339324659</x:v>
      </x:c>
      <x:c r="O16" s="154">
        <x:v>1.2047535206871609</x:v>
      </x:c>
      <x:c r="P16" s="42"/>
    </x:row>
    <x:row r="17" s="3" customFormat="1" ht="27" customHeight="1">
      <x:c r="A17" s="81"/>
      <x:c r="B17" s="7" t="s">
        <x:v>82</x:v>
      </x:c>
      <x:c r="C17" s="93">
        <x:v>1.5748238198387551E-2</x:v>
      </x:c>
      <x:c r="D17" s="93">
        <x:v>-2.3021717909124511</x:v>
      </x:c>
      <x:c r="E17" s="93">
        <x:v>3.6059132369787612</x:v>
      </x:c>
      <x:c r="F17" s="93">
        <x:v>1.3037414460663102</x:v>
      </x:c>
      <x:c r="G17" s="93">
        <x:v>0.3130094821793894</x:v>
      </x:c>
      <x:c r="H17" s="93">
        <x:v>0.575129309995141</x:v>
      </x:c>
      <x:c r="I17" s="93">
        <x:v>0.8881387921745304</x:v>
      </x:c>
      <x:c r="J17" s="93">
        <x:v>1.229434171226168</x:v>
      </x:c>
      <x:c r="K17" s="93">
        <x:v>0.16723137585290929</x:v>
      </x:c>
      <x:c r="L17" s="93">
        <x:v>-1.098121014586003</x:v>
      </x:c>
      <x:c r="M17" s="93">
        <x:v>0.29854453249307444</x:v>
      </x:c>
      <x:c r="N17" s="93">
        <x:v>2.4904247707339149</x:v>
      </x:c>
      <x:c r="O17" s="101">
        <x:v>-2.4746765325355269</x:v>
      </x:c>
      <x:c r="P17" s="42"/>
    </x:row>
    <x:row r="18" s="3" customFormat="1" ht="27" customHeight="1">
      <x:c r="A18" s="80"/>
      <x:c r="B18" s="22" t="s">
        <x:v>83</x:v>
      </x:c>
      <x:c r="C18" s="92">
        <x:v>12.66967005444508</x:v>
      </x:c>
      <x:c r="D18" s="92">
        <x:v>-0.33939597816769229</x:v>
      </x:c>
      <x:c r="E18" s="92">
        <x:v>-0.19646346194192421</x:v>
      </x:c>
      <x:c r="F18" s="92">
        <x:v>-0.5358594401096165</x:v>
      </x:c>
      <x:c r="G18" s="92">
        <x:v>1.14942313821583E-2</x:v>
      </x:c>
      <x:c r="H18" s="92">
        <x:v>0.29740909901867318</x:v>
      </x:c>
      <x:c r="I18" s="92">
        <x:v>0.30890333040083151</x:v>
      </x:c>
      <x:c r="J18" s="92">
        <x:v>1.5202000291695601</x:v>
      </x:c>
      <x:c r="K18" s="92">
        <x:v>6.8183189590724744</x:v>
      </x:c>
      <x:c r="L18" s="92">
        <x:v>0.58627899973061226</x:v>
      </x:c>
      <x:c r="M18" s="92">
        <x:v>8.9247979879726476</x:v>
      </x:c>
      <x:c r="N18" s="92">
        <x:v>8.697841878263862</x:v>
      </x:c>
      <x:c r="O18" s="102">
        <x:v>3.9718281761812189</x:v>
      </x:c>
      <x:c r="P18" s="42"/>
    </x:row>
    <x:row r="19" s="3" customFormat="1" ht="27" customHeight="1">
      <x:c r="A19" s="81"/>
      <x:c r="B19" s="7" t="s">
        <x:v>84</x:v>
      </x:c>
      <x:c r="C19" s="93">
        <x:v>5.3576305746685371</x:v>
      </x:c>
      <x:c r="D19" s="93">
        <x:v>0.15718709120650409</x:v>
      </x:c>
      <x:c r="E19" s="93">
        <x:v>0.30494253897445028</x:v>
      </x:c>
      <x:c r="F19" s="93">
        <x:v>0.46212963018095438</x:v>
      </x:c>
      <x:c r="G19" s="93">
        <x:v>7.4568466556862766E-3</x:v>
      </x:c>
      <x:c r="H19" s="93">
        <x:v>0.46508179952166989</x:v>
      </x:c>
      <x:c r="I19" s="93">
        <x:v>0.47253864617735619</x:v>
      </x:c>
      <x:c r="J19" s="93">
        <x:v>1.560786846491186</x:v>
      </x:c>
      <x:c r="K19" s="93">
        <x:v>0.39496588502469332</x:v>
      </x:c>
      <x:c r="L19" s="93">
        <x:v>0.99274918008369961</x:v>
      </x:c>
      <x:c r="M19" s="93">
        <x:v>2.9485019115995792</x:v>
      </x:c>
      <x:c r="N19" s="93">
        <x:v>3.8831701879578899</x:v>
      </x:c>
      <x:c r="O19" s="101">
        <x:v>1.4744603867106469</x:v>
      </x:c>
      <x:c r="P19" s="42"/>
    </x:row>
    <x:row r="20" s="3" customFormat="1" ht="27" customHeight="1">
      <x:c r="A20" s="80"/>
      <x:c r="B20" s="22" t="s">
        <x:v>85</x:v>
      </x:c>
      <x:c r="C20" s="92">
        <x:v>6.6672759894323974</x:v>
      </x:c>
      <x:c r="D20" s="92">
        <x:v>7.2092932585948233E-2</x:v>
      </x:c>
      <x:c r="E20" s="92">
        <x:v>3.6581364347993479</x:v>
      </x:c>
      <x:c r="F20" s="92">
        <x:v>3.730229367385296</x:v>
      </x:c>
      <x:c r="G20" s="92">
        <x:v>9.4553568096966932E-3</x:v>
      </x:c>
      <x:c r="H20" s="92">
        <x:v>-0.13335923772889169</x:v>
      </x:c>
      <x:c r="I20" s="92">
        <x:v>-0.12390388091919499</x:v>
      </x:c>
      <x:c r="J20" s="92">
        <x:v>2.0849562755819648E-2</x:v>
      </x:c>
      <x:c r="K20" s="92">
        <x:v>6.2054432118577623</x:v>
      </x:c>
      <x:c r="L20" s="92">
        <x:v>-0.45608044962611338</x:v>
      </x:c>
      <x:c r="M20" s="92">
        <x:v>5.7702123249874688</x:v>
      </x:c>
      <x:c r="N20" s="92">
        <x:v>9.37653781145357</x:v>
      </x:c>
      <x:c r="O20" s="102">
        <x:v>-2.709261822021173</x:v>
      </x:c>
      <x:c r="P20" s="42"/>
    </x:row>
    <x:row r="21" s="3" customFormat="1" ht="27" customHeight="1">
      <x:c r="A21" s="81"/>
      <x:c r="B21" s="7" t="s">
        <x:v>86</x:v>
      </x:c>
      <x:c r="C21" s="93">
        <x:v>17.95562087948381</x:v>
      </x:c>
      <x:c r="D21" s="93">
        <x:v>0.20193040878652699</x:v>
      </x:c>
      <x:c r="E21" s="93">
        <x:v>3.2041044402525509</x:v>
      </x:c>
      <x:c r="F21" s="93">
        <x:v>3.4060348490390777</x:v>
      </x:c>
      <x:c r="G21" s="93">
        <x:v>0.13556302486717309</x:v>
      </x:c>
      <x:c r="H21" s="93">
        <x:v>0.14670428787409329</x:v>
      </x:c>
      <x:c r="I21" s="93">
        <x:v>0.28226731274126637</x:v>
      </x:c>
      <x:c r="J21" s="93">
        <x:v>0.35934201676721222</x:v>
      </x:c>
      <x:c r="K21" s="93">
        <x:v>3.35691081882486</x:v>
      </x:c>
      <x:c r="L21" s="93">
        <x:v>4.1302298163409796</x:v>
      </x:c>
      <x:c r="M21" s="93">
        <x:v>7.8464826519330515</x:v>
      </x:c>
      <x:c r="N21" s="93">
        <x:v>11.534784813713395</x:v>
      </x:c>
      <x:c r="O21" s="101">
        <x:v>6.4208360657704162</x:v>
      </x:c>
      <x:c r="P21" s="42"/>
    </x:row>
    <x:row r="22" s="3" customFormat="1" ht="27" customHeight="1">
      <x:c r="A22" s="80"/>
      <x:c r="B22" s="22" t="s">
        <x:v>87</x:v>
      </x:c>
      <x:c r="C22" s="92">
        <x:v>16.466337314197691</x:v>
      </x:c>
      <x:c r="D22" s="92">
        <x:v>0.1186895391102509</x:v>
      </x:c>
      <x:c r="E22" s="92">
        <x:v>6.5847155828021569</x:v>
      </x:c>
      <x:c r="F22" s="92">
        <x:v>6.7034051219124073</x:v>
      </x:c>
      <x:c r="G22" s="92">
        <x:v>0.38465566495252479</x:v>
      </x:c>
      <x:c r="H22" s="92">
        <x:v>0.22322933897603611</x:v>
      </x:c>
      <x:c r="I22" s="92">
        <x:v>0.60788500392856093</x:v>
      </x:c>
      <x:c r="J22" s="92">
        <x:v>2.3308236967886669</x:v>
      </x:c>
      <x:c r="K22" s="92">
        <x:v>0.84051133231181141</x:v>
      </x:c>
      <x:c r="L22" s="92">
        <x:v>5.6249751557039884</x:v>
      </x:c>
      <x:c r="M22" s="92">
        <x:v>8.7963101848044669</x:v>
      </x:c>
      <x:c r="N22" s="92">
        <x:v>16.107600310645434</x:v>
      </x:c>
      <x:c r="O22" s="102">
        <x:v>0.35873700355225319</x:v>
      </x:c>
      <x:c r="P22" s="42"/>
    </x:row>
    <x:row r="23" s="3" customFormat="1" ht="27" customHeight="1">
      <x:c r="A23" s="81"/>
      <x:c r="B23" s="7" t="s">
        <x:v>88</x:v>
      </x:c>
      <x:c r="C23" s="93">
        <x:v>5.112681527491425</x:v>
      </x:c>
      <x:c r="D23" s="93">
        <x:v>0.47156431024005052</x:v>
      </x:c>
      <x:c r="E23" s="93">
        <x:v>8.2939948186769961</x:v>
      </x:c>
      <x:c r="F23" s="93">
        <x:v>8.7655591289170474</x:v>
      </x:c>
      <x:c r="G23" s="93">
        <x:v>0.1292866518165314</x:v>
      </x:c>
      <x:c r="H23" s="93">
        <x:v>1.4136690481677641</x:v>
      </x:c>
      <x:c r="I23" s="93">
        <x:v>1.5429556999842955</x:v>
      </x:c>
      <x:c r="J23" s="93">
        <x:v>1.8217508335897411E-2</x:v>
      </x:c>
      <x:c r="K23" s="93">
        <x:v>0.22705405346023569</x:v>
      </x:c>
      <x:c r="L23" s="93">
        <x:v>1.2598838178113569</x:v>
      </x:c>
      <x:c r="M23" s="93">
        <x:v>1.5051553796074901</x:v>
      </x:c>
      <x:c r="N23" s="93">
        <x:v>11.813670208508833</x:v>
      </x:c>
      <x:c r="O23" s="101">
        <x:v>-6.7009886810174066</x:v>
      </x:c>
      <x:c r="P23" s="42"/>
    </x:row>
    <x:row r="24" s="3" customFormat="1" ht="27" customHeight="1">
      <x:c r="A24" s="80"/>
      <x:c r="B24" s="22" t="s">
        <x:v>89</x:v>
      </x:c>
      <x:c r="C24" s="92">
        <x:v>12.4950814029722</x:v>
      </x:c>
      <x:c r="D24" s="92">
        <x:v>2.249829966104651</x:v>
      </x:c>
      <x:c r="E24" s="92">
        <x:v>4.0528608581499617</x:v>
      </x:c>
      <x:c r="F24" s="92">
        <x:v>6.3026908242546096</x:v>
      </x:c>
      <x:c r="G24" s="92">
        <x:v>3.6834822250722897E-2</x:v>
      </x:c>
      <x:c r="H24" s="92">
        <x:v>5.9929325622952501E-2</x:v>
      </x:c>
      <x:c r="I24" s="92">
        <x:v>9.6764147873675405E-2</x:v>
      </x:c>
      <x:c r="J24" s="92">
        <x:v>0.12691633293736099</x:v>
      </x:c>
      <x:c r="K24" s="92">
        <x:v>1.661641244390559</x:v>
      </x:c>
      <x:c r="L24" s="92">
        <x:v>4.2094716555437497</x:v>
      </x:c>
      <x:c r="M24" s="92">
        <x:v>5.9980292328716693</x:v>
      </x:c>
      <x:c r="N24" s="92">
        <x:v>12.397484204999959</x:v>
      </x:c>
      <x:c r="O24" s="102">
        <x:v>9.7597197972239869E-2</x:v>
      </x:c>
      <x:c r="P24" s="42"/>
    </x:row>
    <x:row r="25" s="3" customFormat="1" ht="27" customHeight="1">
      <x:c r="A25" s="57"/>
      <x:c r="B25" s="58" t="s">
        <x:v>90</x:v>
      </x:c>
      <x:c r="C25" s="104">
        <x:v>10.574761980987761</x:v>
      </x:c>
      <x:c r="D25" s="104">
        <x:v>0.3145915619098808</x:v>
      </x:c>
      <x:c r="E25" s="104">
        <x:v>3.4877203062381779</x:v>
      </x:c>
      <x:c r="F25" s="104">
        <x:v>3.8023118681480588</x:v>
      </x:c>
      <x:c r="G25" s="104">
        <x:v>9.5328244303079193E-2</x:v>
      </x:c>
      <x:c r="H25" s="104">
        <x:v>0.39715338512604981</x:v>
      </x:c>
      <x:c r="I25" s="104">
        <x:v>0.49248162942912899</x:v>
      </x:c>
      <x:c r="J25" s="105">
        <x:v>0.71685542265607982</x:v>
      </x:c>
      <x:c r="K25" s="105">
        <x:v>2.9193430029056371</x:v>
      </x:c>
      <x:c r="L25" s="105">
        <x:v>2.0294574389370581</x:v>
      </x:c>
      <x:c r="M25" s="105">
        <x:v>5.6656558644987749</x:v>
      </x:c>
      <x:c r="N25" s="105">
        <x:v>9.9604493620759627</x:v>
      </x:c>
      <x:c r="O25" s="106">
        <x:v>0.61431261891179878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A28:J28"/>
    <x:mergeCell ref="A32:J32"/>
    <x:mergeCell ref="A7:O7"/>
    <x:mergeCell ref="Q12:R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f119ee129dd1468d"/>
</x:worksheet>
</file>

<file path=xl/worksheets/sheet22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2022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4.25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  <x:c r="S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36">
        <x:v>1.6896407190011511</x:v>
      </x:c>
      <x:c r="D16" s="36">
        <x:v>0.50234809960479221</x:v>
      </x:c>
      <x:c r="E16" s="36">
        <x:v>-0.25121837601586372</x:v>
      </x:c>
      <x:c r="F16" s="36">
        <x:v>0.25112972358892799</x:v>
      </x:c>
      <x:c r="G16" s="36">
        <x:v>1.561063681956803E-2</x:v>
      </x:c>
      <x:c r="H16" s="36">
        <x:v>0.15505829562126969</x:v>
      </x:c>
      <x:c r="I16" s="36">
        <x:v>0.1706689324408377</x:v>
      </x:c>
      <x:c r="J16" s="36">
        <x:v>3.9994921458131848E-2</x:v>
      </x:c>
      <x:c r="K16" s="36">
        <x:v>1.7426070822396229</x:v>
      </x:c>
      <x:c r="L16" s="36">
        <x:v>0.37872370971589953</x:v>
      </x:c>
      <x:c r="M16" s="36">
        <x:v>2.1613257134136541</x:v>
      </x:c>
      <x:c r="N16" s="36">
        <x:v>2.5831243694434196</x:v>
      </x:c>
      <x:c r="O16" s="162">
        <x:v>-0.89348365044226963</x:v>
      </x:c>
      <x:c r="P16" s="42"/>
    </x:row>
    <x:row r="17" s="3" customFormat="1" ht="27" customHeight="1">
      <x:c r="A17" s="81"/>
      <x:c r="B17" s="7" t="s">
        <x:v>82</x:v>
      </x:c>
      <x:c r="C17" s="37">
        <x:v>2.0477370524566219</x:v>
      </x:c>
      <x:c r="D17" s="37">
        <x:v>-0.62632250536332823</x:v>
      </x:c>
      <x:c r="E17" s="37">
        <x:v>0.73768226546610294</x:v>
      </x:c>
      <x:c r="F17" s="37">
        <x:v>0.11135976010277469</x:v>
      </x:c>
      <x:c r="G17" s="37">
        <x:v>0.4930424848718275</x:v>
      </x:c>
      <x:c r="H17" s="37">
        <x:v>1.3359853501032499</x:v>
      </x:c>
      <x:c r="I17" s="37">
        <x:v>1.829027834975077</x:v>
      </x:c>
      <x:c r="J17" s="37">
        <x:v>0.8240459856533181</x:v>
      </x:c>
      <x:c r="K17" s="37">
        <x:v>0.23779283091256601</x:v>
      </x:c>
      <x:c r="L17" s="37">
        <x:v>0.22225737093062961</x:v>
      </x:c>
      <x:c r="M17" s="37">
        <x:v>1.2840961874965138</x:v>
      </x:c>
      <x:c r="N17" s="37">
        <x:v>3.2244837825743655</x:v>
      </x:c>
      <x:c r="O17" s="43">
        <x:v>-1.1767467301177441</x:v>
      </x:c>
      <x:c r="P17" s="42"/>
    </x:row>
    <x:row r="18" s="3" customFormat="1" ht="27" customHeight="1">
      <x:c r="A18" s="80"/>
      <x:c r="B18" s="22" t="s">
        <x:v>83</x:v>
      </x:c>
      <x:c r="C18" s="36">
        <x:v>7.5767108353376864</x:v>
      </x:c>
      <x:c r="D18" s="36">
        <x:v>0.30559868518241451</x:v>
      </x:c>
      <x:c r="E18" s="36">
        <x:v>1.794973979523232</x:v>
      </x:c>
      <x:c r="F18" s="36">
        <x:v>2.1005726647056471</x:v>
      </x:c>
      <x:c r="G18" s="36">
        <x:v>1.7742907063261409E-2</x:v>
      </x:c>
      <x:c r="H18" s="36">
        <x:v>0.61102427471818666</x:v>
      </x:c>
      <x:c r="I18" s="36">
        <x:v>0.62876718178144808</x:v>
      </x:c>
      <x:c r="J18" s="36">
        <x:v>1.0207279075688971</x:v>
      </x:c>
      <x:c r="K18" s="36">
        <x:v>4.1518732770808482</x:v>
      </x:c>
      <x:c r="L18" s="36">
        <x:v>0.25847236722662043</x:v>
      </x:c>
      <x:c r="M18" s="36">
        <x:v>5.4310735518763655</x:v>
      </x:c>
      <x:c r="N18" s="36">
        <x:v>8.1604133983634597</x:v>
      </x:c>
      <x:c r="O18" s="44">
        <x:v>-0.58370256302577417</x:v>
      </x:c>
      <x:c r="P18" s="42"/>
    </x:row>
    <x:row r="19" s="3" customFormat="1" ht="27" customHeight="1">
      <x:c r="A19" s="81"/>
      <x:c r="B19" s="7" t="s">
        <x:v>84</x:v>
      </x:c>
      <x:c r="C19" s="37">
        <x:v>3.9894176455271162</x:v>
      </x:c>
      <x:c r="D19" s="37">
        <x:v>2.4033099549493109E-2</x:v>
      </x:c>
      <x:c r="E19" s="37">
        <x:v>2.7020910951339839E-2</x:v>
      </x:c>
      <x:c r="F19" s="37">
        <x:v>5.1054010500832948E-2</x:v>
      </x:c>
      <x:c r="G19" s="37">
        <x:v>9.9203618500126531E-3</x:v>
      </x:c>
      <x:c r="H19" s="37">
        <x:v>0.38994013362859659</x:v>
      </x:c>
      <x:c r="I19" s="37">
        <x:v>0.39986049547860919</x:v>
      </x:c>
      <x:c r="J19" s="37">
        <x:v>1.720152835068639</x:v>
      </x:c>
      <x:c r="K19" s="37">
        <x:v>0.63359394914203149</x:v>
      </x:c>
      <x:c r="L19" s="37">
        <x:v>-0.1873040508215881</x:v>
      </x:c>
      <x:c r="M19" s="37">
        <x:v>2.1664427333890828</x:v>
      </x:c>
      <x:c r="N19" s="37">
        <x:v>2.6173572393685252</x:v>
      </x:c>
      <x:c r="O19" s="43">
        <x:v>1.372060406158591</x:v>
      </x:c>
      <x:c r="P19" s="42"/>
    </x:row>
    <x:row r="20" s="3" customFormat="1" ht="27" customHeight="1">
      <x:c r="A20" s="80"/>
      <x:c r="B20" s="22" t="s">
        <x:v>85</x:v>
      </x:c>
      <x:c r="C20" s="36">
        <x:v>7.4080156142482423</x:v>
      </x:c>
      <x:c r="D20" s="36">
        <x:v>0.46667715347646782</x:v>
      </x:c>
      <x:c r="E20" s="36">
        <x:v>0.69897247424206688</x:v>
      </x:c>
      <x:c r="F20" s="36">
        <x:v>1.1656496277185351</x:v>
      </x:c>
      <x:c r="G20" s="36">
        <x:v>1.2506872230369431E-2</x:v>
      </x:c>
      <x:c r="H20" s="36">
        <x:v>0.1448052598409838</x:v>
      </x:c>
      <x:c r="I20" s="36">
        <x:v>0.15731213207135319</x:v>
      </x:c>
      <x:c r="J20" s="36">
        <x:v>-0.20257580259087399</x:v>
      </x:c>
      <x:c r="K20" s="36">
        <x:v>6.0689064763817822</x:v>
      </x:c>
      <x:c r="L20" s="36">
        <x:v>-0.54076880275951744</x:v>
      </x:c>
      <x:c r="M20" s="36">
        <x:v>5.3255618710313906</x:v>
      </x:c>
      <x:c r="N20" s="36">
        <x:v>6.6485236308212787</x:v>
      </x:c>
      <x:c r="O20" s="44">
        <x:v>0.75949198342696356</x:v>
      </x:c>
      <x:c r="P20" s="42"/>
    </x:row>
    <x:row r="21" s="3" customFormat="1" ht="27" customHeight="1">
      <x:c r="A21" s="81"/>
      <x:c r="B21" s="7" t="s">
        <x:v>86</x:v>
      </x:c>
      <x:c r="C21" s="37">
        <x:v>13.550945826465281</x:v>
      </x:c>
      <x:c r="D21" s="37">
        <x:v>0.36187666583701522</x:v>
      </x:c>
      <x:c r="E21" s="37">
        <x:v>2.916989584105615</x:v>
      </x:c>
      <x:c r="F21" s="37">
        <x:v>3.27886624994263</x:v>
      </x:c>
      <x:c r="G21" s="37">
        <x:v>0.30328292411861379</x:v>
      </x:c>
      <x:c r="H21" s="37">
        <x:v>0.53914852533943014</x:v>
      </x:c>
      <x:c r="I21" s="37">
        <x:v>0.84243144945804393</x:v>
      </x:c>
      <x:c r="J21" s="37">
        <x:v>0.71448781923509408</x:v>
      </x:c>
      <x:c r="K21" s="37">
        <x:v>2.870867968600519</x:v>
      </x:c>
      <x:c r="L21" s="37">
        <x:v>5.2863815207265512</x:v>
      </x:c>
      <x:c r="M21" s="37">
        <x:v>8.8717373085621638</x:v>
      </x:c>
      <x:c r="N21" s="37">
        <x:v>12.993035007962838</x:v>
      </x:c>
      <x:c r="O21" s="43">
        <x:v>0.55791081850243884</x:v>
      </x:c>
      <x:c r="P21" s="42"/>
    </x:row>
    <x:row r="22" s="3" customFormat="1" ht="27" customHeight="1">
      <x:c r="A22" s="80"/>
      <x:c r="B22" s="22" t="s">
        <x:v>87</x:v>
      </x:c>
      <x:c r="C22" s="36">
        <x:v>18.48385113417832</x:v>
      </x:c>
      <x:c r="D22" s="36">
        <x:v>0.26890251255890729</x:v>
      </x:c>
      <x:c r="E22" s="36">
        <x:v>3.5709485564564201</x:v>
      </x:c>
      <x:c r="F22" s="36">
        <x:v>3.8398510690153271</x:v>
      </x:c>
      <x:c r="G22" s="36">
        <x:v>0.65505290250746206</x:v>
      </x:c>
      <x:c r="H22" s="36">
        <x:v>0.49936300760887142</x:v>
      </x:c>
      <x:c r="I22" s="36">
        <x:v>1.154415910116334</x:v>
      </x:c>
      <x:c r="J22" s="36">
        <x:v>3.3104234749195141</x:v>
      </x:c>
      <x:c r="K22" s="36">
        <x:v>1.2873175749025141</x:v>
      </x:c>
      <x:c r="L22" s="36">
        <x:v>6.4385160229156568</x:v>
      </x:c>
      <x:c r="M22" s="36">
        <x:v>11.036257072737685</x:v>
      </x:c>
      <x:c r="N22" s="36">
        <x:v>16.030524051869346</x:v>
      </x:c>
      <x:c r="O22" s="44">
        <x:v>2.4533270823089741</x:v>
      </x:c>
      <x:c r="P22" s="42"/>
    </x:row>
    <x:row r="23" s="3" customFormat="1" ht="27" customHeight="1">
      <x:c r="A23" s="81"/>
      <x:c r="B23" s="7" t="s">
        <x:v>88</x:v>
      </x:c>
      <x:c r="C23" s="37">
        <x:v>5.6529197267883191</x:v>
      </x:c>
      <x:c r="D23" s="37">
        <x:v>0.27423171872595892</x:v>
      </x:c>
      <x:c r="E23" s="37">
        <x:v>1.4647585938076311</x:v>
      </x:c>
      <x:c r="F23" s="37">
        <x:v>1.7389903125335899</x:v>
      </x:c>
      <x:c r="G23" s="37">
        <x:v>0.18117376504083971</x:v>
      </x:c>
      <x:c r="H23" s="37">
        <x:v>1.383241378736016</x:v>
      </x:c>
      <x:c r="I23" s="37">
        <x:v>1.5644151437768561</x:v>
      </x:c>
      <x:c r="J23" s="37">
        <x:v>2.2542987707637938E-2</x:v>
      </x:c>
      <x:c r="K23" s="37">
        <x:v>0.31738067443767692</x:v>
      </x:c>
      <x:c r="L23" s="37">
        <x:v>1.728337792049419</x:v>
      </x:c>
      <x:c r="M23" s="37">
        <x:v>2.068261454194734</x:v>
      </x:c>
      <x:c r="N23" s="37">
        <x:v>5.37166691050518</x:v>
      </x:c>
      <x:c r="O23" s="43">
        <x:v>0.28125281628313997</x:v>
      </x:c>
      <x:c r="P23" s="42"/>
    </x:row>
    <x:row r="24" s="3" customFormat="1" ht="27" customHeight="1">
      <x:c r="A24" s="80"/>
      <x:c r="B24" s="22" t="s">
        <x:v>89</x:v>
      </x:c>
      <x:c r="C24" s="36">
        <x:v>6.7138810646850011</x:v>
      </x:c>
      <x:c r="D24" s="36">
        <x:v>-0.69572758736598517</x:v>
      </x:c>
      <x:c r="E24" s="36">
        <x:v>4.120768046360002</x:v>
      </x:c>
      <x:c r="F24" s="36">
        <x:v>3.4250404589940171</x:v>
      </x:c>
      <x:c r="G24" s="36">
        <x:v>6.6804767975078241E-2</x:v>
      </x:c>
      <x:c r="H24" s="36">
        <x:v>0.1844429947301694</x:v>
      </x:c>
      <x:c r="I24" s="36">
        <x:v>0.25124776270524762</x:v>
      </x:c>
      <x:c r="J24" s="36">
        <x:v>0.1059175441389037</x:v>
      </x:c>
      <x:c r="K24" s="36">
        <x:v>1.6485134201326419</x:v>
      </x:c>
      <x:c r="L24" s="36">
        <x:v>1.9332184151974141</x:v>
      </x:c>
      <x:c r="M24" s="36">
        <x:v>3.6876493794689598</x:v>
      </x:c>
      <x:c r="N24" s="36">
        <x:v>7.3639376011682245</x:v>
      </x:c>
      <x:c r="O24" s="44">
        <x:v>-0.65005653648322337</x:v>
      </x:c>
      <x:c r="P24" s="42"/>
    </x:row>
    <x:row r="25" s="3" customFormat="1" ht="27" customHeight="1">
      <x:c r="A25" s="57"/>
      <x:c r="B25" s="58" t="s">
        <x:v>90</x:v>
      </x:c>
      <x:c r="C25" s="82">
        <x:v>8.0484156216812845</x:v>
      </x:c>
      <x:c r="D25" s="82">
        <x:v>9.9267837034887105E-2</x:v>
      </x:c>
      <x:c r="E25" s="82">
        <x:v>2.0996380498490561</x:v>
      </x:c>
      <x:c r="F25" s="82">
        <x:v>2.1989058868839431</x:v>
      </x:c>
      <x:c r="G25" s="82">
        <x:v>0.17052872653771939</x:v>
      </x:c>
      <x:c r="H25" s="82">
        <x:v>0.59984027343813706</x:v>
      </x:c>
      <x:c r="I25" s="82">
        <x:v>0.77036899997585651</x:v>
      </x:c>
      <x:c r="J25" s="45">
        <x:v>0.72412733879389923</x:v>
      </x:c>
      <x:c r="K25" s="45">
        <x:v>2.3691625760194142</x:v>
      </x:c>
      <x:c r="L25" s="45">
        <x:v>1.941373149920659</x:v>
      </x:c>
      <x:c r="M25" s="45">
        <x:v>5.034663064733973</x:v>
      </x:c>
      <x:c r="N25" s="45">
        <x:v>8.0039379515937732</x:v>
      </x:c>
      <x:c r="O25" s="46">
        <x:v>4.4477670087513632E-2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A32" s="219"/>
      <x:c r="B32" s="218"/>
      <x:c r="C32" s="218"/>
      <x:c r="D32" s="218"/>
      <x:c r="E32" s="218"/>
      <x:c r="F32" s="218"/>
      <x:c r="G32" s="218"/>
      <x:c r="H32" s="218"/>
      <x:c r="I32" s="218"/>
      <x:c r="J32" s="218"/>
    </x:row>
  </x:sheetData>
  <x:mergeCells>
    <x:mergeCell ref="Q12:S12"/>
    <x:mergeCell ref="A32:J32"/>
    <x:mergeCell ref="A7:O7"/>
    <x:mergeCell ref="N14:N15"/>
    <x:mergeCell ref="O14:O15"/>
    <x:mergeCell ref="A28:J28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788e0e994f494962"/>
</x:worksheet>
</file>

<file path=xl/worksheets/sheet23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>
        <x:v>2023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4.25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  <x:c r="S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36">
        <x:v>1.4231656489451789</x:v>
      </x:c>
      <x:c r="D16" s="36">
        <x:v>-2.1030901614449059E-2</x:v>
      </x:c>
      <x:c r="E16" s="36">
        <x:v>0.50794991311054427</x:v>
      </x:c>
      <x:c r="F16" s="36">
        <x:v>0.48691901149609518</x:v>
      </x:c>
      <x:c r="G16" s="36">
        <x:v>3.714185497957261E-3</x:v>
      </x:c>
      <x:c r="H16" s="36">
        <x:v>0.15756060312585279</x:v>
      </x:c>
      <x:c r="I16" s="36">
        <x:v>0.16127478862381009</x:v>
      </x:c>
      <x:c r="J16" s="36">
        <x:v>-7.298843869298066E-3</x:v>
      </x:c>
      <x:c r="K16" s="36">
        <x:v>0.17307367065064469</x:v>
      </x:c>
      <x:c r="L16" s="36">
        <x:v>0.1895951166022328</x:v>
      </x:c>
      <x:c r="M16" s="36">
        <x:v>0.35536994338357941</x:v>
      </x:c>
      <x:c r="N16" s="36">
        <x:v>1.0035637435034848</x:v>
      </x:c>
      <x:c r="O16" s="162">
        <x:v>0.41960190544169462</x:v>
      </x:c>
      <x:c r="P16" s="42"/>
    </x:row>
    <x:row r="17" s="3" customFormat="1" ht="27" customHeight="1">
      <x:c r="A17" s="81"/>
      <x:c r="B17" s="7" t="s">
        <x:v>82</x:v>
      </x:c>
      <x:c r="C17" s="37">
        <x:v>2.699971856519046</x:v>
      </x:c>
      <x:c r="D17" s="37">
        <x:v>1.448569680635944</x:v>
      </x:c>
      <x:c r="E17" s="37">
        <x:v>1.2740676761331801E-2</x:v>
      </x:c>
      <x:c r="F17" s="37">
        <x:v>1.4613103573972761</x:v>
      </x:c>
      <x:c r="G17" s="37">
        <x:v>-1.7061425939070691E-2</x:v>
      </x:c>
      <x:c r="H17" s="37">
        <x:v>0.63144494814193419</x:v>
      </x:c>
      <x:c r="I17" s="37">
        <x:v>0.61438352220286352</x:v>
      </x:c>
      <x:c r="J17" s="37">
        <x:v>0.26335619544940719</x:v>
      </x:c>
      <x:c r="K17" s="37">
        <x:v>-2.3433623544375649E-2</x:v>
      </x:c>
      <x:c r="L17" s="37">
        <x:v>0.98450940147610544</x:v>
      </x:c>
      <x:c r="M17" s="37">
        <x:v>1.2244319733811371</x:v>
      </x:c>
      <x:c r="N17" s="37">
        <x:v>3.3001258529812767</x:v>
      </x:c>
      <x:c r="O17" s="43">
        <x:v>-0.60015399646223067</x:v>
      </x:c>
      <x:c r="P17" s="42"/>
    </x:row>
    <x:row r="18" s="3" customFormat="1" ht="27" customHeight="1">
      <x:c r="A18" s="80"/>
      <x:c r="B18" s="22" t="s">
        <x:v>83</x:v>
      </x:c>
      <x:c r="C18" s="36">
        <x:v>-1.164133231868725</x:v>
      </x:c>
      <x:c r="D18" s="36">
        <x:v>0.1738274753372957</x:v>
      </x:c>
      <x:c r="E18" s="36">
        <x:v>-3.5970770668372481E-2</x:v>
      </x:c>
      <x:c r="F18" s="36">
        <x:v>0.13785670466892319</x:v>
      </x:c>
      <x:c r="G18" s="36">
        <x:v>3.3767404813228731E-3</x:v>
      </x:c>
      <x:c r="H18" s="36">
        <x:v>0.3566714181970006</x:v>
      </x:c>
      <x:c r="I18" s="36">
        <x:v>0.36004815867832352</x:v>
      </x:c>
      <x:c r="J18" s="36">
        <x:v>0.81793730221776839</x:v>
      </x:c>
      <x:c r="K18" s="36">
        <x:v>-1.870801146028952</x:v>
      </x:c>
      <x:c r="L18" s="36">
        <x:v>0.43041294037927302</x:v>
      </x:c>
      <x:c r="M18" s="36">
        <x:v>-0.62245090343191045</x:v>
      </x:c>
      <x:c r="N18" s="36">
        <x:v>-0.12454604008466374</x:v>
      </x:c>
      <x:c r="O18" s="44">
        <x:v>-1.0395871917840609</x:v>
      </x:c>
      <x:c r="P18" s="42"/>
    </x:row>
    <x:row r="19" s="3" customFormat="1" ht="27" customHeight="1">
      <x:c r="A19" s="81"/>
      <x:c r="B19" s="7" t="s">
        <x:v>84</x:v>
      </x:c>
      <x:c r="C19" s="37">
        <x:v>3.1055019537311601</x:v>
      </x:c>
      <x:c r="D19" s="37">
        <x:v>4.8064932360903777E-2</x:v>
      </x:c>
      <x:c r="E19" s="37">
        <x:v>0.51427065669759686</x:v>
      </x:c>
      <x:c r="F19" s="37">
        <x:v>0.56233558905850067</x:v>
      </x:c>
      <x:c r="G19" s="37">
        <x:v>4.3829349720733478E-3</x:v>
      </x:c>
      <x:c r="H19" s="37">
        <x:v>0.26628468539621092</x:v>
      </x:c>
      <x:c r="I19" s="37">
        <x:v>0.27066762036828429</x:v>
      </x:c>
      <x:c r="J19" s="37">
        <x:v>3.0055162629397749</x:v>
      </x:c>
      <x:c r="K19" s="37">
        <x:v>-0.85918185982870765</x:v>
      </x:c>
      <x:c r="L19" s="37">
        <x:v>-0.23008171598063951</x:v>
      </x:c>
      <x:c r="M19" s="37">
        <x:v>1.9162526871304277</x:v>
      </x:c>
      <x:c r="N19" s="37">
        <x:v>2.7492558965572127</x:v>
      </x:c>
      <x:c r="O19" s="43">
        <x:v>0.35624605717394742</x:v>
      </x:c>
      <x:c r="P19" s="42"/>
    </x:row>
    <x:row r="20" s="3" customFormat="1" ht="27" customHeight="1">
      <x:c r="A20" s="80"/>
      <x:c r="B20" s="22" t="s">
        <x:v>85</x:v>
      </x:c>
      <x:c r="C20" s="36">
        <x:v>-2.9004274735612512</x:v>
      </x:c>
      <x:c r="D20" s="36">
        <x:v>0.14113210056261771</x:v>
      </x:c>
      <x:c r="E20" s="36">
        <x:v>2.0212601091005339E-2</x:v>
      </x:c>
      <x:c r="F20" s="36">
        <x:v>0.16134470165362311</x:v>
      </x:c>
      <x:c r="G20" s="36">
        <x:v>1.7139161848306081E-3</x:v>
      </x:c>
      <x:c r="H20" s="36">
        <x:v>-5.7538534447160491E-2</x:v>
      </x:c>
      <x:c r="I20" s="36">
        <x:v>-5.5824618262329893E-2</x:v>
      </x:c>
      <x:c r="J20" s="36">
        <x:v>6.4086701128994908E-2</x:v>
      </x:c>
      <x:c r="K20" s="36">
        <x:v>-2.961372997245082</x:v>
      </x:c>
      <x:c r="L20" s="36">
        <x:v>1.3065943666719479</x:v>
      </x:c>
      <x:c r="M20" s="36">
        <x:v>-1.5906919294441391</x:v>
      </x:c>
      <x:c r="N20" s="36">
        <x:v>-1.4851718460528458</x:v>
      </x:c>
      <x:c r="O20" s="44">
        <x:v>-1.4152556275084049</x:v>
      </x:c>
      <x:c r="P20" s="42"/>
    </x:row>
    <x:row r="21" s="3" customFormat="1" ht="27" customHeight="1">
      <x:c r="A21" s="81"/>
      <x:c r="B21" s="7" t="s">
        <x:v>86</x:v>
      </x:c>
      <x:c r="C21" s="37">
        <x:v>-4.8123927670271627</x:v>
      </x:c>
      <x:c r="D21" s="37">
        <x:v>-5.6319106431162419E-2</x:v>
      </x:c>
      <x:c r="E21" s="37">
        <x:v>0.85528028596194605</x:v>
      </x:c>
      <x:c r="F21" s="37">
        <x:v>0.79896117953078361</x:v>
      </x:c>
      <x:c r="G21" s="37">
        <x:v>-8.3192404838872255E-4</x:v>
      </x:c>
      <x:c r="H21" s="37">
        <x:v>0.13838511250091429</x:v>
      </x:c>
      <x:c r="I21" s="37">
        <x:v>0.13755318845252559</x:v>
      </x:c>
      <x:c r="J21" s="37">
        <x:v>9.450710751663105E-2</x:v>
      </x:c>
      <x:c r="K21" s="37">
        <x:v>-0.90592363249938768</x:v>
      </x:c>
      <x:c r="L21" s="37">
        <x:v>-1.4483545985648409</x:v>
      </x:c>
      <x:c r="M21" s="37">
        <x:v>-2.2597711235475977</x:v>
      </x:c>
      <x:c r="N21" s="37">
        <x:v>-1.3232567555642885</x:v>
      </x:c>
      <x:c r="O21" s="43">
        <x:v>-3.489136011462874</x:v>
      </x:c>
      <x:c r="P21" s="42"/>
    </x:row>
    <x:row r="22" s="3" customFormat="1" ht="27" customHeight="1">
      <x:c r="A22" s="80"/>
      <x:c r="B22" s="22" t="s">
        <x:v>87</x:v>
      </x:c>
      <x:c r="C22" s="36">
        <x:v>1.03441380324707</x:v>
      </x:c>
      <x:c r="D22" s="36">
        <x:v>0.70128410774080052</x:v>
      </x:c>
      <x:c r="E22" s="36">
        <x:v>2.1641291706127328</x:v>
      </x:c>
      <x:c r="F22" s="36">
        <x:v>2.8654132783535329</x:v>
      </x:c>
      <x:c r="G22" s="36">
        <x:v>8.0124506852362304E-2</x:v>
      </x:c>
      <x:c r="H22" s="36">
        <x:v>-1.604245564159994E-2</x:v>
      </x:c>
      <x:c r="I22" s="36">
        <x:v>6.4082051210762367E-2</x:v>
      </x:c>
      <x:c r="J22" s="36">
        <x:v>0.14192975866299989</x:v>
      </x:c>
      <x:c r="K22" s="36">
        <x:v>-0.48277422969100658</x:v>
      </x:c>
      <x:c r="L22" s="36">
        <x:v>0.94835258401361522</x:v>
      </x:c>
      <x:c r="M22" s="36">
        <x:v>0.60750811298560858</x:v>
      </x:c>
      <x:c r="N22" s="36">
        <x:v>3.5370034425499037</x:v>
      </x:c>
      <x:c r="O22" s="44">
        <x:v>-2.5025896393028342</x:v>
      </x:c>
      <x:c r="P22" s="42"/>
    </x:row>
    <x:row r="23" s="3" customFormat="1" ht="27" customHeight="1">
      <x:c r="A23" s="81"/>
      <x:c r="B23" s="7" t="s">
        <x:v>88</x:v>
      </x:c>
      <x:c r="C23" s="37">
        <x:v>3.492018459165624</x:v>
      </x:c>
      <x:c r="D23" s="37">
        <x:v>0.2308995386617054</x:v>
      </x:c>
      <x:c r="E23" s="37">
        <x:v>1.3466551039453181</x:v>
      </x:c>
      <x:c r="F23" s="37">
        <x:v>1.577554642607023</x:v>
      </x:c>
      <x:c r="G23" s="37">
        <x:v>3.2673115783650557E-2</x:v>
      </x:c>
      <x:c r="H23" s="37">
        <x:v>1.051502722531241</x:v>
      </x:c>
      <x:c r="I23" s="37">
        <x:v>1.0841758383148921</x:v>
      </x:c>
      <x:c r="J23" s="37">
        <x:v>1.5341708220747969E-2</x:v>
      </x:c>
      <x:c r="K23" s="37">
        <x:v>3.001361478921517E-2</x:v>
      </x:c>
      <x:c r="L23" s="37">
        <x:v>0.94836314619973372</x:v>
      </x:c>
      <x:c r="M23" s="37">
        <x:v>0.99371846920969686</x:v>
      </x:c>
      <x:c r="N23" s="37">
        <x:v>3.6554489501316119</x:v>
      </x:c>
      <x:c r="O23" s="43">
        <x:v>-0.1634304909659878</x:v>
      </x:c>
      <x:c r="P23" s="42"/>
    </x:row>
    <x:row r="24" s="3" customFormat="1" ht="27" customHeight="1">
      <x:c r="A24" s="80"/>
      <x:c r="B24" s="22" t="s">
        <x:v>89</x:v>
      </x:c>
      <x:c r="C24" s="36">
        <x:v>5.7120811108106304</x:v>
      </x:c>
      <x:c r="D24" s="36">
        <x:v>-0.58187861273565644</x:v>
      </x:c>
      <x:c r="E24" s="36">
        <x:v>0.44514343052357452</x:v>
      </x:c>
      <x:c r="F24" s="36">
        <x:v>-0.13673518221208189</x:v>
      </x:c>
      <x:c r="G24" s="36">
        <x:v>3.4653758540264638E-3</x:v>
      </x:c>
      <x:c r="H24" s="36">
        <x:v>6.8207357461708779E-2</x:v>
      </x:c>
      <x:c r="I24" s="36">
        <x:v>7.1672733315735246E-2</x:v>
      </x:c>
      <x:c r="J24" s="36">
        <x:v>2.7126146189373819E-2</x:v>
      </x:c>
      <x:c r="K24" s="36">
        <x:v>0.2693721392403286</x:v>
      </x:c>
      <x:c r="L24" s="36">
        <x:v>2.007923021375464</x:v>
      </x:c>
      <x:c r="M24" s="36">
        <x:v>2.3044213068051662</x:v>
      </x:c>
      <x:c r="N24" s="36">
        <x:v>2.2393588579088197</x:v>
      </x:c>
      <x:c r="O24" s="44">
        <x:v>3.4727222529018098</x:v>
      </x:c>
      <x:c r="P24" s="42"/>
    </x:row>
    <x:row r="25" s="3" customFormat="1" ht="27" customHeight="1">
      <x:c r="A25" s="57"/>
      <x:c r="B25" s="58" t="s">
        <x:v>90</x:v>
      </x:c>
      <x:c r="C25" s="82">
        <x:v>0.69114399062504683</x:v>
      </x:c>
      <x:c r="D25" s="82">
        <x:v>0.1178374324152691</x:v>
      </x:c>
      <x:c r="E25" s="82">
        <x:v>0.61310241174165503</x:v>
      </x:c>
      <x:c r="F25" s="82">
        <x:v>0.73093984415692415</x:v>
      </x:c>
      <x:c r="G25" s="82">
        <x:v>1.1465021271528141E-2</x:v>
      </x:c>
      <x:c r="H25" s="82">
        <x:v>0.30874793470638068</x:v>
      </x:c>
      <x:c r="I25" s="82">
        <x:v>0.32021295597790878</x:v>
      </x:c>
      <x:c r="J25" s="45">
        <x:v>0.35444394892167158</x:v>
      </x:c>
      <x:c r="K25" s="45">
        <x:v>-0.76372672981945244</x:v>
      </x:c>
      <x:c r="L25" s="45">
        <x:v>0.5550150311151284</x:v>
      </x:c>
      <x:c r="M25" s="45">
        <x:v>0.14573225021734754</x:v>
      </x:c>
      <x:c r="N25" s="45">
        <x:v>1.1968850503521804</x:v>
      </x:c>
      <x:c r="O25" s="46">
        <x:v>-0.50574105972713357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11" t="s">
        <x:v>71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2">
      <x:c r="A31" s="79" t="s">
        <x:v>72</x:v>
      </x:c>
      <x:c r="B31" s="72"/>
      <x:c r="C31" s="72"/>
      <x:c r="D31" s="72"/>
      <x:c r="E31" s="72"/>
      <x:c r="F31" s="31"/>
      <x:c r="G31" s="31"/>
      <x:c r="H31" s="31"/>
      <x:c r="I31" s="31"/>
      <x:c r="J31" s="31"/>
      <x:c r="K31" s="31"/>
      <x:c r="L31" s="31"/>
      <x:c r="M31" s="31"/>
      <x:c r="N31" s="31"/>
      <x:c r="O31" s="33"/>
      <x:c r="P31" s="2"/>
    </x:row>
    <x:row r="32">
      <x:c r="F32" s="12"/>
      <x:c r="G32" s="12"/>
      <x:c r="H32" s="12"/>
      <x:c r="I32" s="12"/>
    </x:row>
    <x:row r="33">
      <x:c r="A33" s="219"/>
      <x:c r="B33" s="218"/>
      <x:c r="C33" s="218"/>
      <x:c r="D33" s="218"/>
      <x:c r="E33" s="218"/>
      <x:c r="F33" s="218"/>
      <x:c r="G33" s="218"/>
      <x:c r="H33" s="218"/>
      <x:c r="I33" s="218"/>
      <x:c r="J33" s="218"/>
    </x:row>
  </x:sheetData>
  <x:mergeCells>
    <x:mergeCell ref="A28:J28"/>
    <x:mergeCell ref="A33:J33"/>
    <x:mergeCell ref="A7:O7"/>
    <x:mergeCell ref="Q12:S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3ac7ce851ea940c7"/>
</x:worksheet>
</file>

<file path=xl/worksheets/sheet24.xml><?xml version="1.0" encoding="utf-8"?>
<x:worksheet xmlns:x="http://schemas.openxmlformats.org/spreadsheetml/2006/main">
  <x:sheetFormatPr baseColWidth="10" defaultColWidth="11.42578125" defaultRowHeight="15"/>
  <x:cols>
    <x:col min="1" max="1" width="7.42578125" style="1" customWidth="1"/>
    <x:col min="2" max="2" width="53.42578125" style="1" customWidth="1"/>
    <x:col min="3" max="3" width="29.28515625" style="1" customWidth="1"/>
    <x:col min="4" max="4" width="15.140625" style="1" customWidth="1"/>
    <x:col min="5" max="5" width="18.42578125" style="1" customWidth="1"/>
    <x:col min="6" max="6" width="14.42578125" style="2" customWidth="1"/>
    <x:col min="7" max="7" width="14.85546875" style="2" customWidth="1"/>
    <x:col min="8" max="8" width="16.42578125" style="2" customWidth="1"/>
    <x:col min="9" max="9" width="17.140625" style="2" customWidth="1"/>
    <x:col min="10" max="10" width="14.42578125" style="2" customWidth="1"/>
    <x:col min="11" max="11" width="14.140625" style="2" customWidth="1"/>
    <x:col min="12" max="12" width="10.85546875" style="2" customWidth="1"/>
    <x:col min="13" max="13" width="18.7109375" style="2" customWidth="1"/>
    <x:col min="14" max="14" width="16.140625" style="2" customWidth="1"/>
    <x:col min="15" max="15" width="28.140625" style="2" customWidth="1"/>
    <x:col min="16" max="16384" width="11.42578125" style="11" customWidth="0"/>
  </x:cols>
  <x:sheetData>
    <x:row r="1" s="3" customFormat="1" ht="14.25" customHeight="1">
      <x:c r="A1" s="1"/>
      <x:c r="B1" s="1"/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s="3" customFormat="1" ht="14.25" customHeight="1">
      <x:c r="A2" s="1"/>
      <x:c r="B2" s="1"/>
      <x:c r="C2" s="1"/>
      <x:c r="D2" s="1"/>
      <x:c r="E2" s="1"/>
      <x:c r="F2" s="2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s="3" customFormat="1" ht="14.25" customHeight="1">
      <x:c r="A3" s="1"/>
      <x:c r="B3" s="1"/>
      <x:c r="C3" s="1"/>
      <x:c r="D3" s="1"/>
      <x:c r="E3" s="1"/>
      <x:c r="F3" s="2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s="3" customFormat="1" ht="14.25" customHeight="1">
      <x:c r="A4" s="1"/>
      <x:c r="B4" s="1"/>
      <x:c r="C4" s="1"/>
      <x:c r="D4" s="1"/>
      <x:c r="E4" s="1"/>
      <x:c r="F4" s="2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="3" customFormat="1" ht="14.25" customHeight="1">
      <x:c r="A5" s="1"/>
      <x:c r="B5" s="1"/>
      <x:c r="C5" s="1"/>
      <x:c r="D5" s="1"/>
      <x:c r="E5" s="1"/>
      <x:c r="F5" s="2"/>
      <x:c r="G5" s="4"/>
      <x:c r="H5" s="4"/>
      <x:c r="I5" s="4"/>
      <x:c r="P5" s="21" t="s">
        <x:v>54</x:v>
      </x:c>
    </x:row>
    <x:row r="6" s="3" customFormat="1" ht="15" customHeight="1">
      <x:c r="A6" s="5"/>
      <x:c r="B6" s="1"/>
      <x:c r="C6" s="1"/>
      <x:c r="D6" s="1"/>
      <x:c r="E6" s="1"/>
      <x:c r="F6" s="2"/>
      <x:c r="G6" s="2"/>
      <x:c r="H6" s="2"/>
      <x:c r="I6" s="2"/>
      <x:c r="J6" s="68"/>
      <x:c r="K6" s="68"/>
      <x:c r="L6" s="68"/>
      <x:c r="M6" s="68"/>
      <x:c r="N6" s="68"/>
      <x:c r="O6" s="68"/>
      <x:c r="P6" s="68"/>
    </x:row>
    <x:row r="7" s="3" customFormat="1" ht="34.5" customHeight="1">
      <x:c r="A7" s="211" t="s">
        <x:v>55</x:v>
      </x:c>
      <x:c r="B7" s="212"/>
      <x:c r="C7" s="212"/>
      <x:c r="D7" s="212"/>
      <x:c r="E7" s="212"/>
      <x:c r="F7" s="212"/>
      <x:c r="G7" s="212"/>
      <x:c r="H7" s="212"/>
      <x:c r="I7" s="212"/>
      <x:c r="J7" s="212"/>
      <x:c r="K7" s="212"/>
      <x:c r="L7" s="212"/>
      <x:c r="M7" s="212"/>
      <x:c r="N7" s="212"/>
      <x:c r="O7" s="212"/>
    </x:row>
    <x:row r="8" s="3" customFormat="1" ht="15.600000381469727" customHeight="1">
      <x:c r="A8" s="164" t="s">
        <x:v>56</x:v>
      </x:c>
      <x:c r="B8" s="152"/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3"/>
    </x:row>
    <x:row r="9" s="3" customFormat="1" ht="15.600000381469727" customHeight="1">
      <x:c r="A9" s="110" t="s">
        <x:v>9</x:v>
      </x:c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91"/>
    </x:row>
    <x:row r="10" s="3" customFormat="1" ht="15.600000381469727" customHeight="1">
      <x:c r="A10" s="110" t="s">
        <x:v>57</x:v>
      </x:c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8"/>
    </x:row>
    <x:row r="11" s="3" customFormat="1" ht="15.600000381469727" customHeight="1">
      <x:c r="A11" s="98" t="s">
        <x:v>110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90"/>
    </x:row>
    <x:row r="12" s="3" customFormat="1" ht="14.25" customHeight="1">
      <x:c r="A12" s="6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9"/>
      <x:c r="Q12" s="213"/>
      <x:c r="R12" s="213"/>
      <x:c r="S12" s="213"/>
    </x:row>
    <x:row r="13" s="3" customFormat="1" ht="32.25" customHeight="1">
      <x:c r="A13" s="201"/>
      <x:c r="B13" s="214" t="s">
        <x:v>102</x:v>
      </x:c>
      <x:c r="C13" s="113" t="s">
        <x:v>103</x:v>
      </x:c>
      <x:c r="D13" s="207" t="s">
        <x:v>61</x:v>
      </x:c>
      <x:c r="E13" s="207"/>
      <x:c r="F13" s="207"/>
      <x:c r="G13" s="207" t="s">
        <x:v>62</x:v>
      </x:c>
      <x:c r="H13" s="207"/>
      <x:c r="I13" s="207"/>
      <x:c r="J13" s="207" t="s">
        <x:v>97</x:v>
      </x:c>
      <x:c r="K13" s="207"/>
      <x:c r="L13" s="207"/>
      <x:c r="M13" s="207"/>
      <x:c r="N13" s="113" t="s">
        <x:v>63</x:v>
      </x:c>
      <x:c r="O13" s="114" t="s">
        <x:v>64</x:v>
      </x:c>
      <x:c r="P13" s="1"/>
    </x:row>
    <x:row r="14" s="3" customFormat="1" ht="22.5" customHeight="1">
      <x:c r="A14" s="202"/>
      <x:c r="B14" s="215"/>
      <x:c r="C14" s="209" t="s">
        <x:v>65</x:v>
      </x:c>
      <x:c r="D14" s="205" t="s">
        <x:v>98</x:v>
      </x:c>
      <x:c r="E14" s="205"/>
      <x:c r="F14" s="205"/>
      <x:c r="G14" s="205" t="s">
        <x:v>98</x:v>
      </x:c>
      <x:c r="H14" s="205"/>
      <x:c r="I14" s="205"/>
      <x:c r="J14" s="209" t="s">
        <x:v>98</x:v>
      </x:c>
      <x:c r="K14" s="209"/>
      <x:c r="L14" s="209"/>
      <x:c r="M14" s="209"/>
      <x:c r="N14" s="209" t="s">
        <x:v>98</x:v>
      </x:c>
      <x:c r="O14" s="210" t="s">
        <x:v>98</x:v>
      </x:c>
      <x:c r="P14" s="1"/>
    </x:row>
    <x:row r="15" s="3" customFormat="1" ht="31.5" customHeight="1">
      <x:c r="A15" s="203"/>
      <x:c r="B15" s="216"/>
      <x:c r="C15" s="206"/>
      <x:c r="D15" s="115" t="s">
        <x:v>75</x:v>
      </x:c>
      <x:c r="E15" s="115" t="s">
        <x:v>76</x:v>
      </x:c>
      <x:c r="F15" s="115" t="s">
        <x:v>77</x:v>
      </x:c>
      <x:c r="G15" s="115" t="s">
        <x:v>78</x:v>
      </x:c>
      <x:c r="H15" s="115" t="s">
        <x:v>79</x:v>
      </x:c>
      <x:c r="I15" s="115" t="s">
        <x:v>80</x:v>
      </x:c>
      <x:c r="J15" s="116" t="s">
        <x:v>104</x:v>
      </x:c>
      <x:c r="K15" s="116" t="s">
        <x:v>105</x:v>
      </x:c>
      <x:c r="L15" s="116" t="s">
        <x:v>106</x:v>
      </x:c>
      <x:c r="M15" s="116" t="s">
        <x:v>107</x:v>
      </x:c>
      <x:c r="N15" s="206"/>
      <x:c r="O15" s="208"/>
      <x:c r="P15" s="1"/>
    </x:row>
    <x:row r="16" s="3" customFormat="1" ht="27" customHeight="1">
      <x:c r="A16" s="80"/>
      <x:c r="B16" s="22" t="s">
        <x:v>81</x:v>
      </x:c>
      <x:c r="C16" s="36">
        <x:v>5.127293751259554</x:v>
      </x:c>
      <x:c r="D16" s="36">
        <x:v>0.1190598305557091</x:v>
      </x:c>
      <x:c r="E16" s="36">
        <x:v>-0.43624463170035471</x:v>
      </x:c>
      <x:c r="F16" s="36">
        <x:v>-0.31718480114464559</x:v>
      </x:c>
      <x:c r="G16" s="36">
        <x:v>3.0398142726241911E-3</x:v>
      </x:c>
      <x:c r="H16" s="36">
        <x:v>0.50396265654433414</x:v>
      </x:c>
      <x:c r="I16" s="36">
        <x:v>0.50700247081695837</x:v>
      </x:c>
      <x:c r="J16" s="36">
        <x:v>5.4213915148530127E-2</x:v>
      </x:c>
      <x:c r="K16" s="36">
        <x:v>0.87647717231887368</x:v>
      </x:c>
      <x:c r="L16" s="36">
        <x:v>0.20455367278124709</x:v>
      </x:c>
      <x:c r="M16" s="36">
        <x:v>1.1352447602486508</x:v>
      </x:c>
      <x:c r="N16" s="36">
        <x:v>1.3250624299209637</x:v>
      </x:c>
      <x:c r="O16" s="44">
        <x:v>3.8022313213385899</x:v>
      </x:c>
      <x:c r="P16" s="42"/>
    </x:row>
    <x:row r="17" s="3" customFormat="1" ht="27" customHeight="1">
      <x:c r="A17" s="81"/>
      <x:c r="B17" s="7" t="s">
        <x:v>82</x:v>
      </x:c>
      <x:c r="C17" s="37">
        <x:v>-2.65111255483319</x:v>
      </x:c>
      <x:c r="D17" s="37">
        <x:v>-0.84598676855489818</x:v>
      </x:c>
      <x:c r="E17" s="37">
        <x:v>0.58161131688207435</x:v>
      </x:c>
      <x:c r="F17" s="37">
        <x:v>-0.26437545167282378</x:v>
      </x:c>
      <x:c r="G17" s="37">
        <x:v>5.3599641561519362E-2</x:v>
      </x:c>
      <x:c r="H17" s="37">
        <x:v>0.52487415622406464</x:v>
      </x:c>
      <x:c r="I17" s="37">
        <x:v>0.57847379778558405</x:v>
      </x:c>
      <x:c r="J17" s="37">
        <x:v>-3.9530227259820958E-2</x:v>
      </x:c>
      <x:c r="K17" s="37">
        <x:v>-5.0105024218446891E-2</x:v>
      </x:c>
      <x:c r="L17" s="37">
        <x:v>-0.54487580473880115</x:v>
      </x:c>
      <x:c r="M17" s="37">
        <x:v>-0.63451105621706905</x:v>
      </x:c>
      <x:c r="N17" s="37">
        <x:v>-0.32041271010430877</x:v>
      </x:c>
      <x:c r="O17" s="43">
        <x:v>-2.330699844728882</x:v>
      </x:c>
      <x:c r="P17" s="42"/>
    </x:row>
    <x:row r="18" s="3" customFormat="1" ht="27" customHeight="1">
      <x:c r="A18" s="80"/>
      <x:c r="B18" s="22" t="s">
        <x:v>83</x:v>
      </x:c>
      <x:c r="C18" s="36">
        <x:v>-2.0929108794965678</x:v>
      </x:c>
      <x:c r="D18" s="36">
        <x:v>8.1862478964956312E-2</x:v>
      </x:c>
      <x:c r="E18" s="36">
        <x:v>9.4683104240597088E-2</x:v>
      </x:c>
      <x:c r="F18" s="36">
        <x:v>0.17654558320555341</x:v>
      </x:c>
      <x:c r="G18" s="36">
        <x:v>3.2588642772263861E-3</x:v>
      </x:c>
      <x:c r="H18" s="36">
        <x:v>0.33303748001691502</x:v>
      </x:c>
      <x:c r="I18" s="36">
        <x:v>0.3362963442941414</x:v>
      </x:c>
      <x:c r="J18" s="36">
        <x:v>-0.79601046604403747</x:v>
      </x:c>
      <x:c r="K18" s="36">
        <x:v>-0.47634524601543632</x:v>
      </x:c>
      <x:c r="L18" s="36">
        <x:v>-0.1377770232423928</x:v>
      </x:c>
      <x:c r="M18" s="36">
        <x:v>-1.4101327353018664</x:v>
      </x:c>
      <x:c r="N18" s="36">
        <x:v>-0.89729080780217163</x:v>
      </x:c>
      <x:c r="O18" s="44">
        <x:v>-1.1956200716943961</x:v>
      </x:c>
      <x:c r="P18" s="42"/>
    </x:row>
    <x:row r="19" s="3" customFormat="1" ht="27" customHeight="1">
      <x:c r="A19" s="81"/>
      <x:c r="B19" s="7" t="s">
        <x:v>84</x:v>
      </x:c>
      <x:c r="C19" s="37">
        <x:v>2.2452189588170408</x:v>
      </x:c>
      <x:c r="D19" s="37">
        <x:v>-0.1299003515717326</x:v>
      </x:c>
      <x:c r="E19" s="37">
        <x:v>-0.29477258010169288</x:v>
      </x:c>
      <x:c r="F19" s="37">
        <x:v>-0.42467293167342551</x:v>
      </x:c>
      <x:c r="G19" s="37">
        <x:v>2.653071538535555E-3</x:v>
      </x:c>
      <x:c r="H19" s="37">
        <x:v>0.4261272379679657</x:v>
      </x:c>
      <x:c r="I19" s="37">
        <x:v>0.42878030950650131</x:v>
      </x:c>
      <x:c r="J19" s="37">
        <x:v>1.314587159148644</x:v>
      </x:c>
      <x:c r="K19" s="37">
        <x:v>-4.7217515056515183E-2</x:v>
      </x:c>
      <x:c r="L19" s="37">
        <x:v>3.6030410041122861E-2</x:v>
      </x:c>
      <x:c r="M19" s="37">
        <x:v>1.3034000541332516</x:v>
      </x:c>
      <x:c r="N19" s="37">
        <x:v>1.3075074319663273</x:v>
      </x:c>
      <x:c r="O19" s="43">
        <x:v>0.93771152685071391</x:v>
      </x:c>
      <x:c r="P19" s="42"/>
    </x:row>
    <x:row r="20" s="3" customFormat="1" ht="27" customHeight="1">
      <x:c r="A20" s="80"/>
      <x:c r="B20" s="22" t="s">
        <x:v>85</x:v>
      </x:c>
      <x:c r="C20" s="36">
        <x:v>-0.97736415817815114</x:v>
      </x:c>
      <x:c r="D20" s="36">
        <x:v>1.539527419192558E-2</x:v>
      </x:c>
      <x:c r="E20" s="36">
        <x:v>-0.50289525894137599</x:v>
      </x:c>
      <x:c r="F20" s="36">
        <x:v>-0.48749998474945039</x:v>
      </x:c>
      <x:c r="G20" s="36">
        <x:v>2.8449579142238841E-3</x:v>
      </x:c>
      <x:c r="H20" s="36">
        <x:v>-4.2082555417933078E-2</x:v>
      </x:c>
      <x:c r="I20" s="36">
        <x:v>-3.9237597503709191E-2</x:v>
      </x:c>
      <x:c r="J20" s="36">
        <x:v>5.1782797791203712E-2</x:v>
      </x:c>
      <x:c r="K20" s="36">
        <x:v>-0.83067311978925429</x:v>
      </x:c>
      <x:c r="L20" s="36">
        <x:v>-0.20534921898535269</x:v>
      </x:c>
      <x:c r="M20" s="36">
        <x:v>-0.98423954098340327</x:v>
      </x:c>
      <x:c r="N20" s="36">
        <x:v>-1.5109771232365627</x:v>
      </x:c>
      <x:c r="O20" s="44">
        <x:v>0.53361296505841183</x:v>
      </x:c>
      <x:c r="P20" s="42"/>
    </x:row>
    <x:row r="21" s="3" customFormat="1" ht="27" customHeight="1">
      <x:c r="A21" s="81"/>
      <x:c r="B21" s="7" t="s">
        <x:v>86</x:v>
      </x:c>
      <x:c r="C21" s="37">
        <x:v>0.60097519085111628</x:v>
      </x:c>
      <x:c r="D21" s="37">
        <x:v>0.26845712049860831</x:v>
      </x:c>
      <x:c r="E21" s="37">
        <x:v>0.38614999678251338</x:v>
      </x:c>
      <x:c r="F21" s="37">
        <x:v>0.65460711728112164</x:v>
      </x:c>
      <x:c r="G21" s="37">
        <x:v>3.95228960795561E-2</x:v>
      </x:c>
      <x:c r="H21" s="37">
        <x:v>0.1130193924988097</x:v>
      </x:c>
      <x:c r="I21" s="37">
        <x:v>0.1525422885783658</x:v>
      </x:c>
      <x:c r="J21" s="37">
        <x:v>-0.13043254540208951</x:v>
      </x:c>
      <x:c r="K21" s="37">
        <x:v>3.1112759965886621E-2</x:v>
      </x:c>
      <x:c r="L21" s="37">
        <x:v>-1.3587395939982819E-2</x:v>
      </x:c>
      <x:c r="M21" s="37">
        <x:v>-0.1129071813761857</x:v>
      </x:c>
      <x:c r="N21" s="37">
        <x:v>0.69424222448330175</x:v>
      </x:c>
      <x:c r="O21" s="43">
        <x:v>-9.326703363218547E-2</x:v>
      </x:c>
      <x:c r="P21" s="42"/>
    </x:row>
    <x:row r="22" s="3" customFormat="1" ht="27" customHeight="1">
      <x:c r="A22" s="80"/>
      <x:c r="B22" s="22" t="s">
        <x:v>87</x:v>
      </x:c>
      <x:c r="C22" s="36">
        <x:v>0.46653982700979307</x:v>
      </x:c>
      <x:c r="D22" s="36">
        <x:v>-0.18796718208892901</x:v>
      </x:c>
      <x:c r="E22" s="36">
        <x:v>-0.83857216519308586</x:v>
      </x:c>
      <x:c r="F22" s="36">
        <x:v>-1.026539347282015</x:v>
      </x:c>
      <x:c r="G22" s="36">
        <x:v>9.4726845003532692E-2</x:v>
      </x:c>
      <x:c r="H22" s="36">
        <x:v>-1.8192242351476311E-2</x:v>
      </x:c>
      <x:c r="I22" s="36">
        <x:v>7.6534602652056388E-2</x:v>
      </x:c>
      <x:c r="J22" s="36">
        <x:v>0.209300873111812</x:v>
      </x:c>
      <x:c r="K22" s="36">
        <x:v>7.5663242756452448E-2</x:v>
      </x:c>
      <x:c r="L22" s="36">
        <x:v>-1.793007788395647E-2</x:v>
      </x:c>
      <x:c r="M22" s="36">
        <x:v>0.26703403798430797</x:v>
      </x:c>
      <x:c r="N22" s="36">
        <x:v>-0.68297070664565074</x:v>
      </x:c>
      <x:c r="O22" s="44">
        <x:v>1.1495105336554441</x:v>
      </x:c>
      <x:c r="P22" s="42"/>
    </x:row>
    <x:row r="23" s="3" customFormat="1" ht="27" customHeight="1">
      <x:c r="A23" s="81"/>
      <x:c r="B23" s="7" t="s">
        <x:v>88</x:v>
      </x:c>
      <x:c r="C23" s="37">
        <x:v>0.89497765291151055</x:v>
      </x:c>
      <x:c r="D23" s="37">
        <x:v>0.20334979182234261</x:v>
      </x:c>
      <x:c r="E23" s="37">
        <x:v>-0.86487869539166118</x:v>
      </x:c>
      <x:c r="F23" s="37">
        <x:v>-0.66152890356931859</x:v>
      </x:c>
      <x:c r="G23" s="37">
        <x:v>3.6320460279844168E-2</x:v>
      </x:c>
      <x:c r="H23" s="37">
        <x:v>0.92796230115920963</x:v>
      </x:c>
      <x:c r="I23" s="37">
        <x:v>0.96428276143905378</x:v>
      </x:c>
      <x:c r="J23" s="37">
        <x:v>2.001897921547351E-2</x:v>
      </x:c>
      <x:c r="K23" s="37">
        <x:v>-5.0465440675297617E-2</x:v>
      </x:c>
      <x:c r="L23" s="37">
        <x:v>0.21497706119350729</x:v>
      </x:c>
      <x:c r="M23" s="37">
        <x:v>0.18453059973368319</x:v>
      </x:c>
      <x:c r="N23" s="37">
        <x:v>0.48728445760341838</x:v>
      </x:c>
      <x:c r="O23" s="43">
        <x:v>0.40769319530809212</x:v>
      </x:c>
      <x:c r="P23" s="42"/>
    </x:row>
    <x:row r="24" s="3" customFormat="1" ht="27" customHeight="1">
      <x:c r="A24" s="80"/>
      <x:c r="B24" s="22" t="s">
        <x:v>89</x:v>
      </x:c>
      <x:c r="C24" s="36">
        <x:v>4.1387647925643201</x:v>
      </x:c>
      <x:c r="D24" s="36">
        <x:v>-0.21776499530675669</x:v>
      </x:c>
      <x:c r="E24" s="36">
        <x:v>0.26510544592909291</x:v>
      </x:c>
      <x:c r="F24" s="36">
        <x:v>4.7340450622336223E-2</x:v>
      </x:c>
      <x:c r="G24" s="36">
        <x:v>8.2580863381604089E-3</x:v>
      </x:c>
      <x:c r="H24" s="36">
        <x:v>5.942241738454055E-2</x:v>
      </x:c>
      <x:c r="I24" s="36">
        <x:v>6.7680503722700958E-2</x:v>
      </x:c>
      <x:c r="J24" s="36">
        <x:v>1.6087917731241581E-2</x:v>
      </x:c>
      <x:c r="K24" s="36">
        <x:v>0.17418792057991159</x:v>
      </x:c>
      <x:c r="L24" s="36">
        <x:v>1.088494842633009</x:v>
      </x:c>
      <x:c r="M24" s="36" t="n">
        <x:f t="shared" ref="M24" si="0">+SUM(J24:L24)</x:f>
        <x:v>1.2787706809441621</x:v>
      </x:c>
      <x:c r="N24" s="36" t="n">
        <x:f>+F24+I24+M24</x:f>
        <x:v>1.3937916352891992</x:v>
      </x:c>
      <x:c r="O24" s="44">
        <x:v>2.7449731572751208</x:v>
      </x:c>
      <x:c r="P24" s="42"/>
    </x:row>
    <x:row r="25" s="3" customFormat="1" ht="27" customHeight="1">
      <x:c r="A25" s="57"/>
      <x:c r="B25" s="58" t="s">
        <x:v>90</x:v>
      </x:c>
      <x:c r="C25" s="82">
        <x:v>0.84448735963314636</x:v>
      </x:c>
      <x:c r="D25" s="82">
        <x:v>-4.6405949024650658E-3</x:v>
      </x:c>
      <x:c r="E25" s="82">
        <x:v>-0.10962091113232129</x:v>
      </x:c>
      <x:c r="F25" s="82">
        <x:v>-0.11426150603478639</x:v>
      </x:c>
      <x:c r="G25" s="82">
        <x:v>2.404475493052589E-2</x:v>
      </x:c>
      <x:c r="H25" s="82">
        <x:v>0.3052980628651486</x:v>
      </x:c>
      <x:c r="I25" s="82">
        <x:v>0.32934281779567448</x:v>
      </x:c>
      <x:c r="J25" s="45">
        <x:v>-0.1032782230315242</x:v>
      </x:c>
      <x:c r="K25" s="45">
        <x:v>-5.881494651543883E-2</x:v>
      </x:c>
      <x:c r="L25" s="45">
        <x:v>0.16841557534748039</x:v>
      </x:c>
      <x:c r="M25" s="45">
        <x:v>6.32240580051735E-3</x:v>
      </x:c>
      <x:c r="N25" s="45">
        <x:v>0.22140371756140542</x:v>
      </x:c>
      <x:c r="O25" s="46">
        <x:v>0.62308364207174083</x:v>
      </x:c>
      <x:c r="P25" s="42"/>
    </x:row>
    <x:row r="26">
      <x:c r="A26" s="10"/>
      <x:c r="B26" s="73"/>
      <x:c r="C26" s="73"/>
      <x:c r="D26" s="73"/>
      <x:c r="E26" s="73"/>
      <x:c r="F26" s="74"/>
      <x:c r="G26" s="74"/>
      <x:c r="H26" s="75"/>
      <x:c r="I26" s="76"/>
      <x:c r="J26" s="34"/>
      <x:c r="K26" s="34"/>
      <x:c r="L26" s="34"/>
      <x:c r="M26" s="34"/>
      <x:c r="N26" s="34"/>
      <x:c r="O26" s="32"/>
    </x:row>
    <x:row r="27" s="3" customFormat="1" ht="14.25">
      <x:c r="A27" s="155" t="s">
        <x:v>69</x:v>
      </x:c>
      <x:c r="B27" s="156"/>
      <x:c r="C27" s="156"/>
      <x:c r="D27" s="156"/>
      <x:c r="E27" s="156"/>
      <x:c r="F27" s="157"/>
      <x:c r="G27" s="157"/>
      <x:c r="H27" s="158"/>
      <x:c r="I27" s="159"/>
      <x:c r="J27" s="159"/>
      <x:c r="K27" s="160"/>
      <x:c r="L27" s="160"/>
      <x:c r="M27" s="160"/>
      <x:c r="N27" s="160"/>
      <x:c r="O27" s="161"/>
      <x:c r="P27" s="2"/>
    </x:row>
    <x:row r="28" s="3" customFormat="1" ht="14.25">
      <x:c r="A28" s="217" t="s">
        <x:v>108</x:v>
      </x:c>
      <x:c r="B28" s="218"/>
      <x:c r="C28" s="218"/>
      <x:c r="D28" s="218"/>
      <x:c r="E28" s="218"/>
      <x:c r="F28" s="218"/>
      <x:c r="G28" s="218"/>
      <x:c r="H28" s="218"/>
      <x:c r="I28" s="218"/>
      <x:c r="J28" s="218"/>
      <x:c r="K28" s="27"/>
      <x:c r="L28" s="27"/>
      <x:c r="M28" s="27"/>
      <x:c r="N28" s="27"/>
      <x:c r="O28" s="30"/>
      <x:c r="P28" s="2"/>
    </x:row>
    <x:row r="29" s="3" customFormat="1" ht="14.25">
      <x:c r="A29" s="77" t="s">
        <x:v>109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30"/>
      <x:c r="P29" s="2"/>
    </x:row>
    <x:row r="30" s="3" customFormat="1" ht="14.25">
      <x:c r="A30" s="163" t="s">
        <x:v>52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30"/>
      <x:c r="P30" s="2"/>
    </x:row>
    <x:row r="31" s="3" customFormat="1" ht="14.25">
      <x:c r="A31" s="111" t="s">
        <x:v>71</x:v>
      </x:c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30"/>
      <x:c r="P31" s="2"/>
    </x:row>
    <x:row r="32" s="3" customFormat="1" ht="12">
      <x:c r="A32" s="79" t="s">
        <x:v>72</x:v>
      </x:c>
      <x:c r="B32" s="72"/>
      <x:c r="C32" s="72"/>
      <x:c r="D32" s="72"/>
      <x:c r="E32" s="72"/>
      <x:c r="F32" s="31"/>
      <x:c r="G32" s="31"/>
      <x:c r="H32" s="31"/>
      <x:c r="I32" s="31"/>
      <x:c r="J32" s="31"/>
      <x:c r="K32" s="31"/>
      <x:c r="L32" s="31"/>
      <x:c r="M32" s="31"/>
      <x:c r="N32" s="31"/>
      <x:c r="O32" s="33"/>
      <x:c r="P32" s="2"/>
    </x:row>
    <x:row r="33">
      <x:c r="F33" s="12"/>
      <x:c r="G33" s="12"/>
      <x:c r="H33" s="12"/>
      <x:c r="I33" s="12"/>
    </x:row>
    <x:row r="34">
      <x:c r="A34" s="219"/>
      <x:c r="B34" s="218"/>
      <x:c r="C34" s="218"/>
      <x:c r="D34" s="218"/>
      <x:c r="E34" s="218"/>
      <x:c r="F34" s="218"/>
      <x:c r="G34" s="218"/>
      <x:c r="H34" s="218"/>
      <x:c r="I34" s="218"/>
      <x:c r="J34" s="218"/>
    </x:row>
  </x:sheetData>
  <x:mergeCells>
    <x:mergeCell ref="A34:J34"/>
    <x:mergeCell ref="A28:J28"/>
    <x:mergeCell ref="A7:O7"/>
    <x:mergeCell ref="Q12:S12"/>
    <x:mergeCell ref="A13:A15"/>
    <x:mergeCell ref="B13:B15"/>
    <x:mergeCell ref="D13:F13"/>
    <x:mergeCell ref="G13:I13"/>
    <x:mergeCell ref="J13:M13"/>
    <x:mergeCell ref="C14:C15"/>
    <x:mergeCell ref="D14:F14"/>
    <x:mergeCell ref="G14:I14"/>
    <x:mergeCell ref="J14:M14"/>
    <x:mergeCell ref="N14:N15"/>
    <x:mergeCell ref="O14:O15"/>
  </x:mergeCells>
  <x:hyperlinks>
    <x:hyperlink ref="P5" location="Índice!A1"/>
  </x:hyperlinks>
  <x:pageMargins left="0.7" right="0.7" top="0.75" bottom="0.75" header="0.3" footer="0.3"/>
  <x:drawing xmlns:r="http://schemas.openxmlformats.org/officeDocument/2006/relationships" r:id="R867830bd841f411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75" hidden="0" customWidth="1"/>
    <x:col min="3" max="3" width="3" hidden="0" customWidth="1"/>
    <x:col min="4" max="4" width="22.5" hidden="0" customWidth="1"/>
    <x:col min="5" max="5" width="32.5" hidden="0" customWidth="1"/>
    <x:col min="6" max="6" width="13.75" hidden="0" customWidth="1"/>
    <x:col min="7" max="7" width="31.25" hidden="0" customWidth="1"/>
    <x:col min="8" max="8" width="20" hidden="0" customWidth="1"/>
  </x:cols>
  <x:sheetData>
    <x:row r="1" ht="25.5" customHeight="1">
      <x:c r="A1" s="224" t="str">
        <x:v>Cálculos y validación del informe sobre Productividad Total de los Factores</x:v>
      </x:c>
      <x:c r="B1" s="224"/>
      <x:c r="C1" s="224"/>
      <x:c r="D1" s="224"/>
      <x:c r="E1" s="224"/>
      <x:c r="F1" s="224"/>
      <x:c r="G1" s="224"/>
      <x:c r="H1" s="224"/>
    </x:row>
    <x:row r="2" ht="22.5" customHeight="1">
      <x:c r="A2" s="228" t="str">
        <x:v>Hojas agregadas por el CJC a anex-PTF-Productividad-2025.xlsx. Los cuadros originales del DANE no fueron modificados.</x:v>
      </x:c>
      <x:c r="B2" s="228"/>
      <x:c r="C2" s="228"/>
      <x:c r="D2" s="228"/>
      <x:c r="E2" s="228"/>
      <x:c r="F2" s="228"/>
      <x:c r="G2" s="228"/>
      <x:c r="H2" s="228"/>
    </x:row>
    <x:row r="4" ht="25.5" customHeight="1">
      <x:c r="A4" s="234" t="str">
        <x:v>Resultado de la auditoría</x:v>
      </x:c>
      <x:c r="B4" s="234" t="str">
        <x:v>Conclusión</x:v>
      </x:c>
      <x:c r="D4" s="234" t="str">
        <x:v>Hoja</x:v>
      </x:c>
      <x:c r="E4" s="234" t="str">
        <x:v>Contenido</x:v>
      </x:c>
      <x:c r="F4" s="234" t="str">
        <x:v>Periodo</x:v>
      </x:c>
      <x:c r="G4" s="234" t="str">
        <x:v>Uso principal</x:v>
      </x:c>
      <x:c r="H4" s="234" t="str">
        <x:v>Colores</x:v>
      </x:c>
    </x:row>
    <x:row r="5">
      <x:c r="A5" s="243" t="str">
        <x:v>Ponderador correcto</x:v>
      </x:c>
      <x:c r="B5" s="241" t="str">
        <x:v>Promedio Törnqvist de la participación de cada actividad en el valor bruto de producción (VBP) nominal.</x:v>
      </x:c>
      <x:c r="D5" s="241" t="str">
        <x:v>CJC VA total</x:v>
      </x:c>
      <x:c r="E5" s="241" t="str">
        <x:v>PTF y descomposición del total bajo valor agregado</x:v>
      </x:c>
      <x:c r="F5" s="241" t="str">
        <x:v>2005–2025</x:v>
      </x:c>
      <x:c r="G5" s="241" t="str">
        <x:v>Figuras 1 y 2; contrafactual de PTF +1 pp</x:v>
      </x:c>
      <x:c r="H5" s="241" t="str">
        <x:v>Azul: dato DANE; verde: fórmula</x:v>
      </x:c>
    </x:row>
    <x:row r="6">
      <x:c r="A6" s="244" t="str">
        <x:v>Fórmula</x:v>
      </x:c>
      <x:c r="B6" s="242" t="str">
        <x:v>w(i,t) = 0,5 × [VBP(i,t−1)/VBP(t−1) + VBP(i,t)/VBP(t)].</x:v>
      </x:c>
      <x:c r="D6" s="252" t="str">
        <x:v>CJC PTF actividad</x:v>
      </x:c>
      <x:c r="E6" s="252" t="str">
        <x:v>Tasas e índices encadenados de nueve actividades y del total</x:v>
      </x:c>
      <x:c r="F6" s="252" t="str">
        <x:v>2004–2024</x:v>
      </x:c>
      <x:c r="G6" s="252" t="str">
        <x:v>Figuras 3 y 4</x:v>
      </x:c>
      <x:c r="H6" s="252" t="str">
        <x:v>Azul: dato DANE; verde: fórmula</x:v>
      </x:c>
    </x:row>
    <x:row r="7">
      <x:c r="A7" s="244" t="str">
        <x:v>Validación 2006–2024</x:v>
      </x:c>
      <x:c r="B7" s="242" t="str">
        <x:v>171 comparaciones. Diferencia máxima frente al peso implícito exacto: 0.00031 puntos porcentuales.</x:v>
      </x:c>
      <x:c r="D7" s="242" t="str">
        <x:v>CJC Pesos VBP</x:v>
      </x:c>
      <x:c r="E7" s="242" t="str">
        <x:v>VBP nominal, participaciones, pesos y contribuciones anuales</x:v>
      </x:c>
      <x:c r="F7" s="242" t="str">
        <x:v>2005–2024</x:v>
      </x:c>
      <x:c r="G7" s="242" t="str">
        <x:v>Auditoría de ponderadores</x:v>
      </x:c>
      <x:c r="H7" s="242" t="str">
        <x:v>Rojo/verde: signo de contribución</x:v>
      </x:c>
    </x:row>
    <x:row r="8">
      <x:c r="A8" s="244" t="str">
        <x:v>Año 2005</x:v>
      </x:c>
      <x:c r="B8" s="242" t="str">
        <x:v>El COU público Base 2015 comienza en 2005; por eso el peso directo de 2005 requeriría el VBP nominal de 2004. Para ese año se conserva el peso implícito exacto.</x:v>
      </x:c>
      <x:c r="D8" s="252" t="str">
        <x:v>CJC Contribuciones</x:v>
      </x:c>
      <x:c r="E8" s="252" t="str">
        <x:v>Contribuciones acumuladas y anualizadas; cascada</x:v>
      </x:c>
      <x:c r="F8" s="252" t="str">
        <x:v>2005–2024</x:v>
      </x:c>
      <x:c r="G8" s="252" t="str">
        <x:v>Figuras 5 y 6</x:v>
      </x:c>
      <x:c r="H8" s="252" t="str">
        <x:v>Negativo/positivo</x:v>
      </x:c>
    </x:row>
    <x:row r="9">
      <x:c r="A9" s="244" t="str">
        <x:v>Decisión de cálculo</x:v>
      </x:c>
      <x:c r="B9" s="242" t="str">
        <x:v>Las contribuciones usan los pesos implícitos de alta precisión porque reproducen exactamente los trece componentes del total del DANE. Los VBP publicados están redondeados y se usan como validación independiente.</x:v>
      </x:c>
      <x:c r="D9" s="242" t="str">
        <x:v>CJC Figuras</x:v>
      </x:c>
      <x:c r="E9" s="242" t="str">
        <x:v>Mapa de cada figura a su rango de cálculo</x:v>
      </x:c>
      <x:c r="F9" s="242" t="str">
        <x:v>—</x:v>
      </x:c>
      <x:c r="G9" s="242" t="str">
        <x:v>Trazabilidad</x:v>
      </x:c>
      <x:c r="H9" s="242" t="str">
        <x:v>—</x:v>
      </x:c>
    </x:row>
    <x:row r="10">
      <x:c r="D10" s="252" t="str">
        <x:v>Archivo de productividad laboral</x:v>
      </x:c>
      <x:c r="E10" s="252" t="str">
        <x:v>Las hojas CJC de PTF se agregan también al segundo anexo para que ambos archivos entregados conserven la misma carpeta de cálculos.</x:v>
      </x:c>
      <x:c r="F10" s="252" t="str">
        <x:v>—</x:v>
      </x:c>
      <x:c r="G10" s="252" t="str">
        <x:v>Referencia; no cambia la fuente estadística de las figuras PTF</x:v>
      </x:c>
      <x:c r="H10" s="252" t="str">
        <x:v>—</x:v>
      </x:c>
    </x:row>
    <x:row r="11" ht="25.5" customHeight="1">
      <x:c r="A11" s="234" t="str">
        <x:v>Advertencia documental</x:v>
      </x:c>
      <x:c r="B11" s="234" t="str">
        <x:v>Lectura</x:v>
      </x:c>
    </x:row>
    <x:row r="12" ht="25.5" customHeight="1">
      <x:c r="A12" s="251" t="str">
        <x:v>Nota al pie del anexo PTF</x:v>
      </x:c>
      <x:c r="B12" s="251" t="str">
        <x:v>Aunque el anexo menciona la composición del valor agregado, la comparación con los cuadros oferta-utilización no respalda esos pesos. Los pesos que reproducen el total coinciden con las participaciones del VBP nominal.</x:v>
      </x:c>
      <x:c r="D12" s="234" t="str">
        <x:v>Convención</x:v>
      </x:c>
      <x:c r="E12" s="234" t="str">
        <x:v>Formato</x:v>
      </x:c>
    </x:row>
    <x:row r="13">
      <x:c r="D13" s="239" t="str">
        <x:v>Dato copiado de una fuente</x:v>
      </x:c>
      <x:c r="E13" s="253" t="str">
        <x:v>Fuente azul</x:v>
      </x:c>
    </x:row>
    <x:row r="14" ht="25.5" customHeight="1">
      <x:c r="A14" s="234" t="str">
        <x:v>Fuente</x:v>
      </x:c>
      <x:c r="B14" s="234" t="str">
        <x:v>Enlace</x:v>
      </x:c>
      <x:c r="D14" s="240" t="str">
        <x:v>Celda calculada</x:v>
      </x:c>
      <x:c r="E14" s="254" t="str">
        <x:v>Fuente verde</x:v>
      </x:c>
    </x:row>
    <x:row r="15">
      <x:c r="A15" s="239" t="str">
        <x:v>Anexo PTF 2025 del DANE</x:v>
      </x:c>
      <x:c r="B15" s="241" t="str">
        <x:v>https://www.dane.gov.co/files/operaciones/PTF/anex-PTF-Productividad-2025.xlsx</x:v>
      </x:c>
    </x:row>
    <x:row r="16">
      <x:c r="A16" s="240" t="str">
        <x:v>Nota metodológica de la PTF</x:v>
      </x:c>
      <x:c r="B16" s="242" t="str">
        <x:v>https://www.dane.gov.co/files/investigaciones/boletines/pib/productividad/doc-metodologico-PTF-productividad-total-factores-2021.pdf</x:v>
      </x:c>
    </x:row>
    <x:row r="17">
      <x:c r="A17" s="240" t="str">
        <x:v>COU a precios corrientes 2005–2013</x:v>
      </x:c>
      <x:c r="B17" s="242" t="str">
        <x:v>https://www.dane.gov.co/files/investigaciones/boletines/pib/cuentas-nal-anuales/oferta-utilizacion-precios-corrientes-2005-2013.xlsx</x:v>
      </x:c>
    </x:row>
    <x:row r="18">
      <x:c r="A18" s="240" t="str">
        <x:v>COU a precios corrientes 2014–2024</x:v>
      </x:c>
      <x:c r="B18" s="242" t="str">
        <x:v>https://www.dane.gov.co/files/operaciones/PIB/anex-CuentasNalANuales-OfertaUtilizacionPreciosCorrientes-2024p.xlsx</x:v>
      </x:c>
    </x:row>
    <x:row r="19">
      <x:c r="A19" s="240" t="str">
        <x:v>Repositorio del informe</x:v>
      </x:c>
      <x:c r="B19" s="242" t="str">
        <x:v>https://github.com/oliverpardo1979/informe_ptf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5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25" hidden="0" customWidth="1"/>
    <x:col min="7" max="7" width="15" hidden="0" customWidth="1"/>
    <x:col min="8" max="8" width="15" hidden="0" customWidth="1"/>
    <x:col min="9" max="9" width="16.8799991607666" hidden="0" customWidth="1"/>
    <x:col min="10" max="10" width="15.630000114440918" hidden="0" customWidth="1"/>
    <x:col min="11" max="11" width="2.5" hidden="0" customWidth="1"/>
    <x:col min="12" max="12" width="35" hidden="0" customWidth="1"/>
    <x:col min="13" max="13" width="15" hidden="0" customWidth="1"/>
    <x:col min="14" max="14" width="2.5" hidden="0" customWidth="1"/>
    <x:col min="15" max="15" width="25" hidden="0" customWidth="1"/>
    <x:col min="16" max="16" width="12.5" hidden="0" customWidth="1"/>
    <x:col min="17" max="17" width="15" hidden="0" customWidth="1"/>
    <x:col min="18" max="18" width="15" hidden="0" customWidth="1"/>
  </x:cols>
  <x:sheetData>
    <x:row r="1" ht="25.5" customHeight="1">
      <x:c r="A1" s="224" t="str">
        <x:v>PTF y crecimiento del total de la economía: enfoque de valor agregado</x:v>
      </x:c>
      <x:c r="B1" s="224"/>
      <x:c r="C1" s="224"/>
      <x:c r="D1" s="224"/>
      <x:c r="E1" s="224"/>
      <x:c r="F1" s="224"/>
      <x:c r="G1" s="224"/>
      <x:c r="H1" s="224"/>
      <x:c r="I1" s="224"/>
      <x:c r="J1" s="224"/>
      <x:c r="K1" s="224"/>
      <x:c r="L1" s="224"/>
      <x:c r="M1" s="224"/>
      <x:c r="N1" s="224"/>
      <x:c r="O1" s="224"/>
      <x:c r="P1" s="224"/>
      <x:c r="Q1" s="224"/>
      <x:c r="R1" s="224"/>
    </x:row>
    <x:row r="2" ht="22.5" customHeight="1">
      <x:c r="A2" s="228" t="str">
        <x:v>Tasas logarítmicas del DANE. Los índices parten de 100 en 2004 y se encadenan con EXP(tasa/100).</x:v>
      </x:c>
      <x:c r="B2" s="228"/>
      <x:c r="C2" s="228"/>
      <x:c r="D2" s="228"/>
      <x:c r="E2" s="228"/>
      <x:c r="F2" s="228"/>
      <x:c r="G2" s="228"/>
      <x:c r="H2" s="228"/>
      <x:c r="I2" s="228"/>
      <x:c r="J2" s="228"/>
      <x:c r="K2" s="228"/>
      <x:c r="L2" s="228"/>
      <x:c r="M2" s="228"/>
      <x:c r="N2" s="228"/>
      <x:c r="O2" s="228"/>
      <x:c r="P2" s="228"/>
      <x:c r="Q2" s="228"/>
      <x:c r="R2" s="228"/>
    </x:row>
    <x:row r="5" ht="25.5" customHeight="1">
      <x:c r="A5" s="234" t="str">
        <x:v>Año</x:v>
      </x:c>
      <x:c r="B5" s="234" t="str">
        <x:v>Crecimiento VAB (%)</x:v>
      </x:c>
      <x:c r="C5" s="234" t="str">
        <x:v>Trabajo (pp)</x:v>
      </x:c>
      <x:c r="D5" s="234" t="str">
        <x:v>Capital (pp)</x:v>
      </x:c>
      <x:c r="E5" s="234" t="str">
        <x:v>Factores (pp)</x:v>
      </x:c>
      <x:c r="F5" s="234" t="str">
        <x:v>PTF (pp)</x:v>
      </x:c>
      <x:c r="G5" s="234" t="str">
        <x:v>Índice VAB observado</x:v>
      </x:c>
      <x:c r="H5" s="234" t="str">
        <x:v>Índice PTF observado</x:v>
      </x:c>
      <x:c r="I5" s="234" t="str">
        <x:v>Índice VAB si PTF +1 pp</x:v>
      </x:c>
      <x:c r="J5" s="234" t="str">
        <x:v>Brecha vs. observado (%)</x:v>
      </x:c>
      <x:c r="L5" s="234" t="str">
        <x:v>Indicador</x:v>
      </x:c>
      <x:c r="M5" s="234" t="str">
        <x:v>Resultado</x:v>
      </x:c>
      <x:c r="O5" s="234" t="str">
        <x:v>Paso de la cascada</x:v>
      </x:c>
      <x:c r="P5" s="234" t="str">
        <x:v>Tipo</x:v>
      </x:c>
      <x:c r="Q5" s="234" t="str">
        <x:v>Aporte/nivel (pp)</x:v>
      </x:c>
      <x:c r="R5" s="234" t="str">
        <x:v>Resultado (%)</x:v>
      </x:c>
    </x:row>
    <x:row r="6">
      <x:c r="A6" s="239" t="n">
        <x:v>2005</x:v>
      </x:c>
      <x:c r="B6" s="259" t="n">
        <x:v>4.700971511879895</x:v>
      </x:c>
      <x:c r="C6" s="259" t="n">
        <x:v>3.471334048148997</x:v>
      </x:c>
      <x:c r="D6" s="259" t="n">
        <x:v>1.549620106287544</x:v>
      </x:c>
      <x:c r="E6" s="259" t="n">
        <x:v>5.0209541544365415</x:v>
      </x:c>
      <x:c r="F6" s="259" t="n">
        <x:v>-0.3199826425566472</x:v>
      </x:c>
      <x:c r="G6" s="265" t="n">
        <x:f>100*EXP(B6/100)</x:f>
        <x:v>104.81321917589526</x:v>
      </x:c>
      <x:c r="H6" s="265" t="n">
        <x:f>100*EXP(F6/100)</x:f>
        <x:v>99.68052875629311</x:v>
      </x:c>
      <x:c r="I6" s="265" t="n">
        <x:f>100*EXP((B6+1)/100)</x:f>
        <x:v>105.86660954124252</x:v>
      </x:c>
      <x:c r="J6" s="266" t="n">
        <x:f>I6/G6-1</x:f>
        <x:v>0.010050167084167949</x:v>
      </x:c>
      <x:c r="L6" s="239" t="str">
        <x:v>Crecimiento anualizado VAB (%)</x:v>
      </x:c>
      <x:c r="M6" s="265" t="n">
        <x:f>AVERAGE(B6:B26)</x:f>
        <x:v>3.3876844138947293</x:v>
      </x:c>
      <x:c r="O6" s="239" t="str">
        <x:v>Trabajo</x:v>
      </x:c>
      <x:c r="P6" s="239" t="str">
        <x:v>Aumento</x:v>
      </x:c>
      <x:c r="Q6" s="265" t="n">
        <x:f>M7</x:f>
        <x:v>1.7318366955678837</x:v>
      </x:c>
      <x:c r="R6" s="265" t="n">
        <x:f>Q6</x:f>
        <x:v>1.7318366955678837</x:v>
      </x:c>
    </x:row>
    <x:row r="7">
      <x:c r="A7" s="258" t="n">
        <x:v>2006</x:v>
      </x:c>
      <x:c r="B7" s="260" t="n">
        <x:v>5.997796832210598</x:v>
      </x:c>
      <x:c r="C7" s="260" t="n">
        <x:v>-0.4703115070835877</x:v>
      </x:c>
      <x:c r="D7" s="260" t="n">
        <x:v>2.237337179076929</x:v>
      </x:c>
      <x:c r="E7" s="260" t="n">
        <x:v>1.7670256719933413</x:v>
      </x:c>
      <x:c r="F7" s="260" t="n">
        <x:v>4.230771160217258</x:v>
      </x:c>
      <x:c r="G7" s="267" t="n">
        <x:f>G6*EXP(B7/100)</x:f>
        <x:v>111.29205470432258</x:v>
      </x:c>
      <x:c r="H7" s="267" t="n">
        <x:f>H6*EXP(F7/100)</x:f>
        <x:v>103.98826655236881</x:v>
      </x:c>
      <x:c r="I7" s="267" t="n">
        <x:f>I6*EXP((B7+1)/100)</x:f>
        <x:v>113.54030334368092</x:v>
      </x:c>
      <x:c r="J7" s="268" t="n">
        <x:f>I7/G7-1</x:f>
        <x:v>0.020201340026755776</x:v>
      </x:c>
      <x:c r="L7" s="240" t="str">
        <x:v>Contribución anualizada trabajo (pp)</x:v>
      </x:c>
      <x:c r="M7" s="269" t="n">
        <x:f>AVERAGE(C6:C26)</x:f>
        <x:v>1.7318366955678837</x:v>
      </x:c>
      <x:c r="O7" s="240" t="str">
        <x:v>Capital</x:v>
      </x:c>
      <x:c r="P7" s="240" t="str">
        <x:v>Aumento</x:v>
      </x:c>
      <x:c r="Q7" s="269" t="n">
        <x:f>M8</x:f>
        <x:v>1.7932958746518497</x:v>
      </x:c>
      <x:c r="R7" s="269" t="n">
        <x:f>R6+Q7</x:f>
        <x:v>3.5251325702197334</x:v>
      </x:c>
    </x:row>
    <x:row r="8">
      <x:c r="A8" s="240" t="n">
        <x:v>2007</x:v>
      </x:c>
      <x:c r="B8" s="261" t="n">
        <x:v>6.123723715834383</x:v>
      </x:c>
      <x:c r="C8" s="261" t="n">
        <x:v>6.004300720958763</x:v>
      </x:c>
      <x:c r="D8" s="261" t="n">
        <x:v>2.801600774611273</x:v>
      </x:c>
      <x:c r="E8" s="261" t="n">
        <x:v>8.805901495570035</x:v>
      </x:c>
      <x:c r="F8" s="261" t="n">
        <x:v>-2.682177779735652</x:v>
      </x:c>
      <x:c r="G8" s="269" t="n">
        <x:f>G7*EXP(B8/100)</x:f>
        <x:v>118.3202707383348</x:v>
      </x:c>
      <x:c r="H8" s="269" t="n">
        <x:f>H7*EXP(F8/100)</x:f>
        <x:v>101.23618916430267</x:v>
      </x:c>
      <x:c r="I8" s="269" t="n">
        <x:f>I7*EXP((B8+1)/100)</x:f>
        <x:v>121.92365944092472</x:v>
      </x:c>
      <x:c r="J8" s="270" t="n">
        <x:f>I8/G8-1</x:f>
        <x:v>0.030454533953516938</x:v>
      </x:c>
      <x:c r="L8" s="240" t="str">
        <x:v>Contribución anualizada capital (pp)</x:v>
      </x:c>
      <x:c r="M8" s="269" t="n">
        <x:f>AVERAGE(D6:D26)</x:f>
        <x:v>1.7932958746518497</x:v>
      </x:c>
      <x:c r="O8" s="271" t="str">
        <x:v>Crecimiento sin PTF</x:v>
      </x:c>
      <x:c r="P8" s="271" t="str">
        <x:v>Total</x:v>
      </x:c>
      <x:c r="Q8" s="272" t="n">
        <x:f>M9</x:f>
        <x:v>3.525132570219733</x:v>
      </x:c>
      <x:c r="R8" s="272" t="n">
        <x:f>Q8</x:f>
        <x:v>3.525132570219733</x:v>
      </x:c>
    </x:row>
    <x:row r="9">
      <x:c r="A9" s="258" t="n">
        <x:v>2008</x:v>
      </x:c>
      <x:c r="B9" s="260" t="n">
        <x:v>3.108944787618228</x:v>
      </x:c>
      <x:c r="C9" s="260" t="n">
        <x:v>2.092131742368767</x:v>
      </x:c>
      <x:c r="D9" s="260" t="n">
        <x:v>2.670913951553199</x:v>
      </x:c>
      <x:c r="E9" s="260" t="n">
        <x:v>4.763045693921966</x:v>
      </x:c>
      <x:c r="F9" s="260" t="n">
        <x:v>-1.654100906303738</x:v>
      </x:c>
      <x:c r="G9" s="267" t="n">
        <x:f>G8*EXP(B9/100)</x:f>
        <x:v>122.05656129443499</x:v>
      </x:c>
      <x:c r="H9" s="267" t="n">
        <x:f>H8*EXP(F9/100)</x:f>
        <x:v>99.57541375854366</x:v>
      </x:c>
      <x:c r="I9" s="267" t="n">
        <x:f>I8*EXP((B9+1)/100)</x:f>
        <x:v>127.03778405612155</x:v>
      </x:c>
      <x:c r="J9" s="268" t="n">
        <x:f>I9/G9-1</x:f>
        <x:v>0.04081077419238821</x:v>
      </x:c>
      <x:c r="L9" s="240" t="str">
        <x:v>Contribución anualizada factores (pp)</x:v>
      </x:c>
      <x:c r="M9" s="269" t="n">
        <x:f>AVERAGE(E6:E26)</x:f>
        <x:v>3.525132570219733</x:v>
      </x:c>
      <x:c r="O9" s="240" t="str">
        <x:v>PTF</x:v>
      </x:c>
      <x:c r="P9" s="240" t="str">
        <x:v>Disminución</x:v>
      </x:c>
      <x:c r="Q9" s="269" t="n">
        <x:f>M10</x:f>
        <x:v>-0.1374481563250037</x:v>
      </x:c>
      <x:c r="R9" s="269" t="n">
        <x:f>R8+Q9</x:f>
        <x:v>3.3876844138947293</x:v>
      </x:c>
    </x:row>
    <x:row r="10">
      <x:c r="A10" s="240" t="n">
        <x:v>2009</x:v>
      </x:c>
      <x:c r="B10" s="261" t="n">
        <x:v>1.316519352323268</x:v>
      </x:c>
      <x:c r="C10" s="261" t="n">
        <x:v>0.3362722285178719</x:v>
      </x:c>
      <x:c r="D10" s="261" t="n">
        <x:v>2.032079730134178</x:v>
      </x:c>
      <x:c r="E10" s="261" t="n">
        <x:v>2.36835195865205</x:v>
      </x:c>
      <x:c r="F10" s="261" t="n">
        <x:v>-1.051832606328781</x:v>
      </x:c>
      <x:c r="G10" s="269" t="n">
        <x:f>G9*EXP(B10/100)</x:f>
        <x:v>123.67408367961073</x:v>
      </x:c>
      <x:c r="H10" s="269" t="n">
        <x:f>H9*EXP(F10/100)</x:f>
        <x:v>98.53353609889173</x:v>
      </x:c>
      <x:c r="I10" s="269" t="n">
        <x:f>I9*EXP((B10+1)/100)</x:f>
        <x:v>130.01498954316452</x:v>
      </x:c>
      <x:c r="J10" s="270" t="n">
        <x:f>I10/G10-1</x:f>
        <x:v>0.05127109637602412</x:v>
      </x:c>
      <x:c r="L10" s="240" t="str">
        <x:v>Crecimiento anualizado PTF (%)</x:v>
      </x:c>
      <x:c r="M10" s="269" t="n">
        <x:f>AVERAGE(F6:F26)</x:f>
        <x:v>-0.1374481563250037</x:v>
      </x:c>
      <x:c r="O10" s="277" t="str">
        <x:v>Crecimiento observado</x:v>
      </x:c>
      <x:c r="P10" s="277" t="str">
        <x:v>Total</x:v>
      </x:c>
      <x:c r="Q10" s="278" t="n">
        <x:f>M6</x:f>
        <x:v>3.3876844138947293</x:v>
      </x:c>
      <x:c r="R10" s="278" t="n">
        <x:f>Q10</x:f>
        <x:v>3.3876844138947293</x:v>
      </x:c>
    </x:row>
    <x:row r="11">
      <x:c r="A11" s="258" t="n">
        <x:v>2010</x:v>
      </x:c>
      <x:c r="B11" s="260" t="n">
        <x:v>4.251740603481142</x:v>
      </x:c>
      <x:c r="C11" s="260" t="n">
        <x:v>3.762094969734255</x:v>
      </x:c>
      <x:c r="D11" s="260" t="n">
        <x:v>2.192407430007294</x:v>
      </x:c>
      <x:c r="E11" s="260" t="n">
        <x:v>5.954502399741549</x:v>
      </x:c>
      <x:c r="F11" s="260" t="n">
        <x:v>-1.702761796260407</x:v>
      </x:c>
      <x:c r="G11" s="267" t="n">
        <x:f>G10*EXP(B11/100)</x:f>
        <x:v>129.04577082423856</x:v>
      </x:c>
      <x:c r="H11" s="267" t="n">
        <x:f>H10*EXP(F11/100)</x:f>
        <x:v>96.86994835281602</x:v>
      </x:c>
      <x:c r="I11" s="267" t="n">
        <x:f>I10*EXP((B11+1)/100)</x:f>
        <x:v>137.02551563829337</x:v>
      </x:c>
      <x:c r="J11" s="268" t="n">
        <x:f>I11/G11-1</x:f>
        <x:v>0.061836546545359417</x:v>
      </x:c>
      <x:c r="L11" s="240" t="str">
        <x:v>Crecimiento acumulado VAB (%)</x:v>
      </x:c>
      <x:c r="M11" s="270" t="n">
        <x:f>G26/100-1</x:f>
        <x:v>1.0368688003897093</x:v>
      </x:c>
    </x:row>
    <x:row r="12">
      <x:c r="A12" s="240" t="n">
        <x:v>2011</x:v>
      </x:c>
      <x:c r="B12" s="261" t="n">
        <x:v>6.487781837889696</x:v>
      </x:c>
      <x:c r="C12" s="261" t="n">
        <x:v>3.001931754883321</x:v>
      </x:c>
      <x:c r="D12" s="261" t="n">
        <x:v>3.021249438718157</x:v>
      </x:c>
      <x:c r="E12" s="261" t="n">
        <x:v>6.023181193601478</x:v>
      </x:c>
      <x:c r="F12" s="261" t="n">
        <x:v>0.4646006442882184</x:v>
      </x:c>
      <x:c r="G12" s="269" t="n">
        <x:f>G11*EXP(B12/100)</x:f>
        <x:v>137.69553400231214</x:v>
      </x:c>
      <x:c r="H12" s="269" t="n">
        <x:f>H11*EXP(F12/100)</x:f>
        <x:v>97.32105386510325</x:v>
      </x:c>
      <x:c r="I12" s="269" t="n">
        <x:f>I11*EXP((B12+1)/100)</x:f>
        <x:v>147.6795867396479</x:v>
      </x:c>
      <x:c r="J12" s="270" t="n">
        <x:f>I12/G12-1</x:f>
        <x:v>0.07250818125421632</x:v>
      </x:c>
      <x:c r="L12" s="240" t="str">
        <x:v>Crecimiento acumulado PTF (%)</x:v>
      </x:c>
      <x:c r="M12" s="270" t="n">
        <x:f>H26/100-1</x:f>
        <x:v>-0.028451523528281952</x:v>
      </x:c>
    </x:row>
    <x:row r="13">
      <x:c r="A13" s="258" t="n">
        <x:v>2012</x:v>
      </x:c>
      <x:c r="B13" s="260" t="n">
        <x:v>3.786287385637683</x:v>
      </x:c>
      <x:c r="C13" s="260" t="n">
        <x:v>1.195842275249589</x:v>
      </x:c>
      <x:c r="D13" s="260" t="n">
        <x:v>3.041367330419819</x:v>
      </x:c>
      <x:c r="E13" s="260" t="n">
        <x:v>4.237209605669408</x:v>
      </x:c>
      <x:c r="F13" s="260" t="n">
        <x:v>-0.4509222200317248</x:v>
      </x:c>
      <x:c r="G13" s="267" t="n">
        <x:f>G12*EXP(B13/100)</x:f>
        <x:v>143.0090401733002</x:v>
      </x:c>
      <x:c r="H13" s="267" t="n">
        <x:f>H12*EXP(F13/100)</x:f>
        <x:v>96.88319954158501</x:v>
      </x:c>
      <x:c r="I13" s="267" t="n">
        <x:f>I12*EXP((B13+1)/100)</x:f>
        <x:v>154.91984378034473</x:v>
      </x:c>
      <x:c r="J13" s="268" t="n">
        <x:f>I13/G13-1</x:f>
        <x:v>0.08328706767495864</x:v>
      </x:c>
      <x:c r="L13" s="240" t="str">
        <x:v>Crecimiento VAB contrafactual (%)</x:v>
      </x:c>
      <x:c r="M13" s="269" t="n">
        <x:f>M6+1</x:f>
        <x:v>4.387684413894729</x:v>
      </x:c>
    </x:row>
    <x:row r="14">
      <x:c r="A14" s="240" t="n">
        <x:v>2013</x:v>
      </x:c>
      <x:c r="B14" s="261" t="n">
        <x:v>5.185177952081458</x:v>
      </x:c>
      <x:c r="C14" s="261" t="n">
        <x:v>1.866784688805891</x:v>
      </x:c>
      <x:c r="D14" s="261" t="n">
        <x:v>2.858223636555204</x:v>
      </x:c>
      <x:c r="E14" s="261" t="n">
        <x:v>4.725008325361095</x:v>
      </x:c>
      <x:c r="F14" s="261" t="n">
        <x:v>0.4601696267203639</x:v>
      </x:c>
      <x:c r="G14" s="269" t="n">
        <x:f>G13*EXP(B14/100)</x:f>
        <x:v>150.6199272662897</x:v>
      </x:c>
      <x:c r="H14" s="269" t="n">
        <x:f>H13*EXP(F14/100)</x:f>
        <x:v>97.33005395487886</x:v>
      </x:c>
      <x:c r="I14" s="269" t="n">
        <x:f>I13*EXP((B14+1)/100)</x:f>
        <x:v>164.80445102832343</x:v>
      </x:c>
      <x:c r="J14" s="270" t="n">
        <x:f>I14/G14-1</x:f>
        <x:v>0.09417428370521042</x:v>
      </x:c>
      <x:c r="L14" s="240" t="str">
        <x:v>Brecha de nivel en 2025 (%)</x:v>
      </x:c>
      <x:c r="M14" s="270" t="n">
        <x:f>J26</x:f>
        <x:v>0.23367805995674318</x:v>
      </x:c>
    </x:row>
    <x:row r="15">
      <x:c r="A15" s="258" t="n">
        <x:v>2014</x:v>
      </x:c>
      <x:c r="B15" s="260" t="n">
        <x:v>4.359624929680058</x:v>
      </x:c>
      <x:c r="C15" s="260" t="n">
        <x:v>3.006844215739055</x:v>
      </x:c>
      <x:c r="D15" s="260" t="n">
        <x:v>2.767127565302832</x:v>
      </x:c>
      <x:c r="E15" s="260" t="n">
        <x:v>5.773971781041887</x:v>
      </x:c>
      <x:c r="F15" s="260" t="n">
        <x:v>-1.41434685136183</x:v>
      </x:c>
      <x:c r="G15" s="267" t="n">
        <x:f>G14*EXP(B15/100)</x:f>
        <x:v>157.33163070591567</x:v>
      </x:c>
      <x:c r="H15" s="267" t="n">
        <x:f>H14*EXP(F15/100)</x:f>
        <x:v>95.9631585085022</x:v>
      </x:c>
      <x:c r="I15" s="267" t="n">
        <x:f>I14*EXP((B15+1)/100)</x:f>
        <x:v>173.8783427495956</x:v>
      </x:c>
      <x:c r="J15" s="268" t="n">
        <x:f>I15/G15-1</x:f>
        <x:v>0.10517091807564771</x:v>
      </x:c>
    </x:row>
    <x:row r="16">
      <x:c r="A16" s="240" t="n">
        <x:v>2015</x:v>
      </x:c>
      <x:c r="B16" s="261" t="n">
        <x:v>3.075166148242378</x:v>
      </x:c>
      <x:c r="C16" s="261" t="n">
        <x:v>0.4800165147836954</x:v>
      </x:c>
      <x:c r="D16" s="261" t="n">
        <x:v>1.822871445853548</x:v>
      </x:c>
      <x:c r="E16" s="261" t="n">
        <x:v>2.302887960637243</x:v>
      </x:c>
      <x:c r="F16" s="261" t="n">
        <x:v>0.7722781876051343</x:v>
      </x:c>
      <x:c r="G16" s="269" t="n">
        <x:f>G15*EXP(B16/100)</x:f>
        <x:v>162.24499968987004</x:v>
      </x:c>
      <x:c r="H16" s="269" t="n">
        <x:f>H15*EXP(F16/100)</x:f>
        <x:v>96.70713011740956</x:v>
      </x:c>
      <x:c r="I16" s="269" t="n">
        <x:f>I15*EXP((B16+1)/100)</x:f>
        <x:v>181.11053519540835</x:v>
      </x:c>
      <x:c r="J16" s="270" t="n">
        <x:f>I16/G16-1</x:f>
        <x:v>0.11627807045887151</x:v>
      </x:c>
    </x:row>
    <x:row r="17">
      <x:c r="A17" s="258" t="n">
        <x:v>2016</x:v>
      </x:c>
      <x:c r="B17" s="260" t="n">
        <x:v>2.195318186439531</x:v>
      </x:c>
      <x:c r="C17" s="260" t="n">
        <x:v>1.774041005522302</x:v>
      </x:c>
      <x:c r="D17" s="260" t="n">
        <x:v>1.581365448962117</x:v>
      </x:c>
      <x:c r="E17" s="260" t="n">
        <x:v>3.355406454484419</x:v>
      </x:c>
      <x:c r="F17" s="260" t="n">
        <x:v>-1.160088268044888</x:v>
      </x:c>
      <x:c r="G17" s="267" t="n">
        <x:f>G16*EXP(B17/100)</x:f>
        <x:v>165.8461777037755</x:v>
      </x:c>
      <x:c r="H17" s="267" t="n">
        <x:f>H16*EXP(F17/100)</x:f>
        <x:v>95.59172440127315</x:v>
      </x:c>
      <x:c r="I17" s="267" t="n">
        <x:f>I16*EXP((B17+1)/100)</x:f>
        <x:v>186.99104320748057</x:v>
      </x:c>
      <x:c r="J17" s="268" t="n">
        <x:f>I17/G17-1</x:f>
        <x:v>0.12749685157937596</x:v>
      </x:c>
    </x:row>
    <x:row r="18">
      <x:c r="A18" s="240" t="n">
        <x:v>2017</x:v>
      </x:c>
      <x:c r="B18" s="261" t="n">
        <x:v>1.347892270065693</x:v>
      </x:c>
      <x:c r="C18" s="261" t="n">
        <x:v>-0.3278722412446278</x:v>
      </x:c>
      <x:c r="D18" s="261" t="n">
        <x:v>1.481954365020892</x:v>
      </x:c>
      <x:c r="E18" s="261" t="n">
        <x:v>1.1540821237762642</x:v>
      </x:c>
      <x:c r="F18" s="261" t="n">
        <x:v>0.1938101462894286</x:v>
      </x:c>
      <x:c r="G18" s="269" t="n">
        <x:f>G17*EXP(B18/100)</x:f>
        <x:v>168.09673901053802</x:v>
      </x:c>
      <x:c r="H18" s="269" t="n">
        <x:f>H17*EXP(F18/100)</x:f>
        <x:v>95.77717051081565</x:v>
      </x:c>
      <x:c r="I18" s="269" t="n">
        <x:f>I17*EXP((B18+1)/100)</x:f>
        <x:v>191.43333752951196</x:v>
      </x:c>
      <x:c r="J18" s="270" t="n">
        <x:f>I18/G18-1</x:f>
        <x:v>0.13882838332462222</x:v>
      </x:c>
    </x:row>
    <x:row r="19">
      <x:c r="A19" s="258" t="n">
        <x:v>2018</x:v>
      </x:c>
      <x:c r="B19" s="260" t="n">
        <x:v>2.464298442475477</x:v>
      </x:c>
      <x:c r="C19" s="260" t="n">
        <x:v>1.042508114706216</x:v>
      </x:c>
      <x:c r="D19" s="260" t="n">
        <x:v>1.186676561440576</x:v>
      </x:c>
      <x:c r="E19" s="260" t="n">
        <x:v>2.229184676146792</x:v>
      </x:c>
      <x:c r="F19" s="260" t="n">
        <x:v>0.2351137663286853</x:v>
      </x:c>
      <x:c r="G19" s="267" t="n">
        <x:f>G18*EXP(B19/100)</x:f>
        <x:v>172.29060680685717</x:v>
      </x:c>
      <x:c r="H19" s="267" t="n">
        <x:f>H18*EXP(F19/100)</x:f>
        <x:v>96.00262075210887</x:v>
      </x:c>
      <x:c r="I19" s="267" t="n">
        <x:f>I18*EXP((B19+1)/100)</x:f>
        <x:v>198.18137079914052</x:v>
      </x:c>
      <x:c r="J19" s="268" t="n">
        <x:f>I19/G19-1</x:f>
        <x:v>0.15027379885722758</x:v>
      </x:c>
    </x:row>
    <x:row r="20">
      <x:c r="A20" s="240" t="n">
        <x:v>2019</x:v>
      </x:c>
      <x:c r="B20" s="261" t="n">
        <x:v>3.021654338725109</x:v>
      </x:c>
      <x:c r="C20" s="261" t="n">
        <x:v>1.4493368153947</x:v>
      </x:c>
      <x:c r="D20" s="261" t="n">
        <x:v>1.342865800109361</x:v>
      </x:c>
      <x:c r="E20" s="261" t="n">
        <x:v>2.7922026155040607</x:v>
      </x:c>
      <x:c r="F20" s="261" t="n">
        <x:v>0.2294517232210479</x:v>
      </x:c>
      <x:c r="G20" s="269" t="n">
        <x:f>G19*EXP(B20/100)</x:f>
        <x:v>177.5760857057591</x:v>
      </x:c>
      <x:c r="H20" s="269" t="n">
        <x:f>H19*EXP(F20/100)</x:f>
        <x:v>96.22315333090795</x:v>
      </x:c>
      <x:c r="I20" s="269" t="n">
        <x:f>I19*EXP((B20+1)/100)</x:f>
        <x:v>206.31397706260339</x:v>
      </x:c>
      <x:c r="J20" s="270" t="n">
        <x:f>I20/G20-1</x:f>
        <x:v>0.16183424272828328</x:v>
      </x:c>
    </x:row>
    <x:row r="21">
      <x:c r="A21" s="258" t="n">
        <x:v>2020</x:v>
      </x:c>
      <x:c r="B21" s="260" t="n">
        <x:v>-7.529534545817738</x:v>
      </x:c>
      <x:c r="C21" s="260" t="n">
        <x:v>-6.480545177807739</x:v>
      </x:c>
      <x:c r="D21" s="260" t="n">
        <x:v>0.4539249450152346</x:v>
      </x:c>
      <x:c r="E21" s="260" t="n">
        <x:v>-6.026620232792505</x:v>
      </x:c>
      <x:c r="F21" s="260" t="n">
        <x:v>-1.502914313025233</x:v>
      </x:c>
      <x:c r="G21" s="267" t="n">
        <x:f>G20*EXP(B21/100)</x:f>
        <x:v>164.6964073215046</x:v>
      </x:c>
      <x:c r="H21" s="267" t="n">
        <x:f>H20*EXP(F21/100)</x:f>
        <x:v>94.78781475864871</x:v>
      </x:c>
      <x:c r="I21" s="267" t="n">
        <x:f>I20*EXP((B21+1)/100)</x:f>
        <x:v>193.2730244050809</x:v>
      </x:c>
      <x:c r="J21" s="268" t="n">
        <x:f>I21/G21-1</x:f>
        <x:v>0.17351087099181073</x:v>
      </x:c>
    </x:row>
    <x:row r="22">
      <x:c r="A22" s="240" t="n">
        <x:v>2021</x:v>
      </x:c>
      <x:c r="B22" s="261" t="n">
        <x:v>9.705318307300418</x:v>
      </x:c>
      <x:c r="C22" s="261" t="n">
        <x:v>7.412163640979553</x:v>
      </x:c>
      <x:c r="D22" s="261" t="n">
        <x:v>0.9954232489926129</x:v>
      </x:c>
      <x:c r="E22" s="261" t="n">
        <x:v>8.407586889972166</x:v>
      </x:c>
      <x:c r="F22" s="261" t="n">
        <x:v>1.29773141732825</x:v>
      </x:c>
      <x:c r="G22" s="269" t="n">
        <x:f>G21*EXP(B22/100)</x:f>
        <x:v>181.48209642424334</x:v>
      </x:c>
      <x:c r="H22" s="269" t="n">
        <x:f>H21*EXP(F22/100)</x:f>
        <x:v>96.02592228994844</x:v>
      </x:c>
      <x:c r="I22" s="269" t="n">
        <x:f>I21*EXP((B22+1)/100)</x:f>
        <x:v>215.11160931944602</x:v>
      </x:c>
      <x:c r="J22" s="270" t="n">
        <x:f>I22/G22-1</x:f>
        <x:v>0.18530485132036567</x:v>
      </x:c>
    </x:row>
    <x:row r="23">
      <x:c r="A23" s="258" t="n">
        <x:v>2022</x:v>
      </x:c>
      <x:c r="B23" s="260" t="n">
        <x:v>6.077060680150988</x:v>
      </x:c>
      <x:c r="C23" s="260" t="n">
        <x:v>4.398920059048343</x:v>
      </x:c>
      <x:c r="D23" s="260" t="n">
        <x:v>1.545597969425952</x:v>
      </x:c>
      <x:c r="E23" s="260" t="n">
        <x:v>5.9445180284742944</x:v>
      </x:c>
      <x:c r="F23" s="260" t="n">
        <x:v>0.1325426516766949</x:v>
      </x:c>
      <x:c r="G23" s="267" t="n">
        <x:f>G22*EXP(B23/100)</x:f>
        <x:v>192.8528790205208</x:v>
      </x:c>
      <x:c r="H23" s="267" t="n">
        <x:f>H22*EXP(F23/100)</x:f>
        <x:v>96.15328197795739</x:v>
      </x:c>
      <x:c r="I23" s="267" t="n">
        <x:f>I22*EXP((B23+1)/100)</x:f>
        <x:v>230.88681529139737</x:v>
      </x:c>
      <x:c r="J23" s="268" t="n">
        <x:f>I23/G23-1</x:f>
        <x:v>0.19721736312181015</x:v>
      </x:c>
    </x:row>
    <x:row r="24">
      <x:c r="A24" s="240" t="n">
        <x:v>2023</x:v>
      </x:c>
      <x:c r="B24" s="261" t="n">
        <x:v>1.179188364720833</x:v>
      </x:c>
      <x:c r="C24" s="261" t="n">
        <x:v>1.461197345960264</x:v>
      </x:c>
      <x:c r="D24" s="261" t="n">
        <x:v>0.641411790087958</x:v>
      </x:c>
      <x:c r="E24" s="261" t="n">
        <x:v>2.102609136048222</x:v>
      </x:c>
      <x:c r="F24" s="261" t="n">
        <x:v>-0.9234207713273888</x:v>
      </x:c>
      <x:c r="G24" s="269" t="n">
        <x:f>G23*EXP(B24/100)</x:f>
        <x:v>195.14043854206457</x:v>
      </x:c>
      <x:c r="H24" s="269" t="n">
        <x:f>H23*EXP(F24/100)</x:f>
        <x:v>95.26946953396227</x:v>
      </x:c>
      <x:c r="I24" s="269" t="n">
        <x:f>I23*EXP((B24+1)/100)</x:f>
        <x:v>235.97349679365124</x:v>
      </x:c>
      <x:c r="J24" s="270" t="n">
        <x:f>I24/G24-1</x:f>
        <x:v>0.2092495976572517</x:v>
      </x:c>
    </x:row>
    <x:row r="25">
      <x:c r="A25" s="258" t="n">
        <x:v>2024</x:v>
      </x:c>
      <x:c r="B25" s="260" t="n">
        <x:v>1.630410050068724</x:v>
      </x:c>
      <x:c r="C25" s="260" t="n">
        <x:v>-0.22204591126918471</x:v>
      </x:c>
      <x:c r="D25" s="260" t="n">
        <x:v>0.6464578209732394</x:v>
      </x:c>
      <x:c r="E25" s="260" t="n">
        <x:v>0.42441190970405474</x:v>
      </x:c>
      <x:c r="F25" s="260" t="n">
        <x:v>1.205998140364669</x:v>
      </x:c>
      <x:c r="G25" s="267" t="n">
        <x:f>G24*EXP(B25/100)</x:f>
        <x:v>198.3481058732227</x:v>
      </x:c>
      <x:c r="H25" s="267" t="n">
        <x:f>H24*EXP(F25/100)</x:f>
        <x:v>96.42537364609807</x:v>
      </x:c>
      <x:c r="I25" s="267" t="n">
        <x:f>I24*EXP((B25+1)/100)</x:f>
        <x:v>242.26292358939958</x:v>
      </x:c>
      <x:c r="J25" s="268" t="n">
        <x:f>I25/G25-1</x:f>
        <x:v>0.22140275816016985</x:v>
      </x:c>
    </x:row>
    <x:row r="26">
      <x:c r="A26" s="240" t="n">
        <x:v>2025</x:v>
      </x:c>
      <x:c r="B26" s="261" t="n">
        <x:v>2.656031540781504</x:v>
      </x:c>
      <x:c r="C26" s="261" t="n">
        <x:v>1.1136253035291168</x:v>
      </x:c>
      <x:c r="D26" s="261" t="n">
        <x:v>0.788736829140926</x:v>
      </x:c>
      <x:c r="E26" s="261" t="n">
        <x:v>1.9023621326700428</x:v>
      </x:c>
      <x:c r="F26" s="261" t="n">
        <x:v>0.7536694081114617</x:v>
      </x:c>
      <x:c r="G26" s="269" t="n">
        <x:f>G25*EXP(B26/100)</x:f>
        <x:v>203.68688003897094</x:v>
      </x:c>
      <x:c r="H26" s="269" t="n">
        <x:f>H25*EXP(F26/100)</x:f>
        <x:v>97.1548476471718</x:v>
      </x:c>
      <x:c r="I26" s="269" t="n">
        <x:f>I25*EXP((B26+1)/100)</x:f>
        <x:v>251.28403500511956</x:v>
      </x:c>
      <x:c r="J26" s="270" t="n">
        <x:f>I26/G26-1</x:f>
        <x:v>0.23367805995674318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3.130000114440918" hidden="0" customWidth="1"/>
    <x:col min="3" max="3" width="10.630000114440918" hidden="0" customWidth="1"/>
    <x:col min="4" max="4" width="11.880000114440918" hidden="0" customWidth="1"/>
    <x:col min="5" max="5" width="13.130000114440918" hidden="0" customWidth="1"/>
    <x:col min="6" max="6" width="12.5" hidden="0" customWidth="1"/>
    <x:col min="7" max="7" width="15" hidden="0" customWidth="1"/>
    <x:col min="8" max="8" width="18.1299991607666" hidden="0" customWidth="1"/>
    <x:col min="9" max="9" width="11.25" hidden="0" customWidth="1"/>
    <x:col min="10" max="10" width="19.3799991607666" hidden="0" customWidth="1"/>
    <x:col min="11" max="11" width="15" hidden="0" customWidth="1"/>
    <x:col min="12" max="12" width="2.5" hidden="0" customWidth="1"/>
    <x:col min="13" max="13" width="25.6299991607666" hidden="0" customWidth="1"/>
    <x:col min="14" max="14" width="18.1299991607666" hidden="0" customWidth="1"/>
    <x:col min="15" max="15" width="15" hidden="0" customWidth="1"/>
    <x:col min="16" max="16" width="13.75" hidden="0" customWidth="1"/>
    <x:col min="17" max="17" width="11.880000114440918" hidden="0" customWidth="1"/>
  </x:cols>
  <x:sheetData>
    <x:row r="1" ht="25.5" customHeight="1">
      <x:c r="A1" s="224" t="str">
        <x:v>Evolución de la PTF por actividad económica: enfoque de producción</x:v>
      </x:c>
      <x:c r="B1" s="224"/>
      <x:c r="C1" s="224"/>
      <x:c r="D1" s="224"/>
      <x:c r="E1" s="224"/>
      <x:c r="F1" s="224"/>
      <x:c r="G1" s="224"/>
      <x:c r="H1" s="224"/>
      <x:c r="I1" s="224"/>
      <x:c r="J1" s="224"/>
      <x:c r="K1" s="224"/>
      <x:c r="L1" s="224"/>
      <x:c r="M1" s="224"/>
      <x:c r="N1" s="224"/>
      <x:c r="O1" s="224"/>
      <x:c r="P1" s="224"/>
      <x:c r="Q1" s="224"/>
    </x:row>
    <x:row r="2" ht="22.5" customHeight="1">
      <x:c r="A2" s="228" t="str">
        <x:v>Las 20 tasas del DANE conectan el índice de 2004 con el de 2024. El total de la economía se presenta en la última columna.</x:v>
      </x:c>
      <x:c r="B2" s="228"/>
      <x:c r="C2" s="228"/>
      <x:c r="D2" s="228"/>
      <x:c r="E2" s="228"/>
      <x:c r="F2" s="228"/>
      <x:c r="G2" s="228"/>
      <x:c r="H2" s="228"/>
      <x:c r="I2" s="228"/>
      <x:c r="J2" s="228"/>
      <x:c r="K2" s="228"/>
      <x:c r="L2" s="228"/>
      <x:c r="M2" s="228"/>
      <x:c r="N2" s="228"/>
      <x:c r="O2" s="228"/>
      <x:c r="P2" s="228"/>
      <x:c r="Q2" s="228"/>
    </x:row>
    <x:row r="5" ht="25.5" customHeight="1">
      <x:c r="A5" s="234" t="str">
        <x:v>Año</x:v>
      </x:c>
      <x:c r="B5" s="234" t="str">
        <x:v>Agropecuario</x:v>
      </x:c>
      <x:c r="C5" s="234" t="str">
        <x:v>Minería</x:v>
      </x:c>
      <x:c r="D5" s="234" t="str">
        <x:v>Manufactura</x:v>
      </x:c>
      <x:c r="E5" s="234" t="str">
        <x:v>Servicios públicos</x:v>
      </x:c>
      <x:c r="F5" s="234" t="str">
        <x:v>Construcción</x:v>
      </x:c>
      <x:c r="G5" s="234" t="str">
        <x:v>Comercio y hotelería</x:v>
      </x:c>
      <x:c r="H5" s="234" t="str">
        <x:v>Transporte y comunicaciones</x:v>
      </x:c>
      <x:c r="I5" s="234" t="str">
        <x:v>Financieras</x:v>
      </x:c>
      <x:c r="J5" s="234" t="str">
        <x:v>Servicios sociales y personales</x:v>
      </x:c>
      <x:c r="K5" s="234" t="str">
        <x:v>Total de la economía</x:v>
      </x:c>
      <x:c r="M5" s="234" t="str">
        <x:v>Actividad</x:v>
      </x:c>
      <x:c r="N5" s="234" t="str">
        <x:v>Crecimiento acumulado (%)</x:v>
      </x:c>
      <x:c r="O5" s="234" t="str">
        <x:v>Tasa anualizada (%)</x:v>
      </x:c>
      <x:c r="P5" s="234" t="str">
        <x:v>Años con PTF positiva</x:v>
      </x:c>
      <x:c r="Q5" s="234" t="str">
        <x:v>Índice 2024</x:v>
      </x:c>
    </x:row>
    <x:row r="6">
      <x:c r="A6" s="239" t="n">
        <x:v>2005</x:v>
      </x:c>
      <x:c r="B6" s="259" t="n">
        <x:v>-4.609292480816046</x:v>
      </x:c>
      <x:c r="C6" s="259" t="n">
        <x:v>4.584495150191688</x:v>
      </x:c>
      <x:c r="D6" s="259" t="n">
        <x:v>1.447687090475098</x:v>
      </x:c>
      <x:c r="E6" s="259" t="n">
        <x:v>0.3431174026645718</x:v>
      </x:c>
      <x:c r="F6" s="259" t="n">
        <x:v>6.347841538002023</x:v>
      </x:c>
      <x:c r="G6" s="259" t="n">
        <x:v>1.328376354438846</x:v>
      </x:c>
      <x:c r="H6" s="259" t="n">
        <x:v>2.044413994839967</x:v>
      </x:c>
      <x:c r="I6" s="259" t="n">
        <x:v>-3.458526257493652</x:v>
      </x:c>
      <x:c r="J6" s="259" t="n">
        <x:v>-3.68185866904421</x:v>
      </x:c>
      <x:c r="K6" s="259" t="n">
        <x:v>0.07321135025945857</x:v>
      </x:c>
      <x:c r="M6" s="239" t="str">
        <x:v>Minería</x:v>
      </x:c>
      <x:c r="N6" s="266" t="n">
        <x:f>C$50/100-1</x:f>
        <x:v>-0.3208605180394799</x:v>
      </x:c>
      <x:c r="O6" s="265" t="n">
        <x:f>AVERAGE(C$6:C$25)</x:f>
        <x:v>-1.9346437494875537</x:v>
      </x:c>
      <x:c r="P6" s="287" t="n">
        <x:f>COUNTIF(C$6:C$25,"&gt;0")</x:f>
        <x:v>3</x:v>
      </x:c>
      <x:c r="Q6" s="265" t="n">
        <x:f>C$50</x:f>
        <x:v>67.913948196052</x:v>
      </x:c>
    </x:row>
    <x:row r="7">
      <x:c r="A7" s="258" t="n">
        <x:v>2006</x:v>
      </x:c>
      <x:c r="B7" s="260" t="n">
        <x:v>2.731897624932886</x:v>
      </x:c>
      <x:c r="C7" s="260" t="n">
        <x:v>-3.132700869851751</x:v>
      </x:c>
      <x:c r="D7" s="260" t="n">
        <x:v>2.553355351769602</x:v>
      </x:c>
      <x:c r="E7" s="260" t="n">
        <x:v>1.298625051503958</x:v>
      </x:c>
      <x:c r="F7" s="260" t="n">
        <x:v>2.202489191980401</x:v>
      </x:c>
      <x:c r="G7" s="260" t="n">
        <x:v>4.393378962035465</x:v>
      </x:c>
      <x:c r="H7" s="260" t="n">
        <x:v>0.844033398247376</x:v>
      </x:c>
      <x:c r="I7" s="260" t="n">
        <x:v>1.429880416572186</x:v>
      </x:c>
      <x:c r="J7" s="260" t="n">
        <x:v>3.130162672033309</x:v>
      </x:c>
      <x:c r="K7" s="260" t="n">
        <x:v>2.205996411408322</x:v>
      </x:c>
      <x:c r="M7" s="258" t="str">
        <x:v>Financieras</x:v>
      </x:c>
      <x:c r="N7" s="268" t="n">
        <x:f>I$50/100-1</x:f>
        <x:v>-0.19008198002888832</x:v>
      </x:c>
      <x:c r="O7" s="267" t="n">
        <x:f>AVERAGE(I$6:I$25)</x:f>
        <x:v>-1.0541112317496437</x:v>
      </x:c>
      <x:c r="P7" s="288" t="n">
        <x:f>COUNTIF(I$6:I$25,"&gt;0")</x:f>
        <x:v>8</x:v>
      </x:c>
      <x:c r="Q7" s="267" t="n">
        <x:f>I$50</x:f>
        <x:v>80.99180199711117</x:v>
      </x:c>
    </x:row>
    <x:row r="8">
      <x:c r="A8" s="240" t="n">
        <x:v>2007</x:v>
      </x:c>
      <x:c r="B8" s="261" t="n">
        <x:v>2.323206842531002</x:v>
      </x:c>
      <x:c r="C8" s="261" t="n">
        <x:v>-4.324306909079369</x:v>
      </x:c>
      <x:c r="D8" s="261" t="n">
        <x:v>0.007352163992550231</x:v>
      </x:c>
      <x:c r="E8" s="261" t="n">
        <x:v>0.4591468373219634</x:v>
      </x:c>
      <x:c r="F8" s="261" t="n">
        <x:v>-0.7637413976546483</x:v>
      </x:c>
      <x:c r="G8" s="261" t="n">
        <x:v>0.1205458813605063</x:v>
      </x:c>
      <x:c r="H8" s="261" t="n">
        <x:v>-1.266182576094153</x:v>
      </x:c>
      <x:c r="I8" s="261" t="n">
        <x:v>-5.517098662999077</x:v>
      </x:c>
      <x:c r="J8" s="261" t="n">
        <x:v>-2.698907028364784</x:v>
      </x:c>
      <x:c r="K8" s="261" t="n">
        <x:v>-1.386751411319521</x:v>
      </x:c>
      <x:c r="M8" s="240" t="str">
        <x:v>Construcción</x:v>
      </x:c>
      <x:c r="N8" s="270" t="n">
        <x:f>F$50/100-1</x:f>
        <x:v>-0.11061697930961334</x:v>
      </x:c>
      <x:c r="O8" s="269" t="n">
        <x:f>AVERAGE(F$6:F$25)</x:f>
        <x:v>-0.5861364591695346</x:v>
      </x:c>
      <x:c r="P8" s="289" t="n">
        <x:f>COUNTIF(F$6:F$25,"&gt;0")</x:f>
        <x:v>8</x:v>
      </x:c>
      <x:c r="Q8" s="269" t="n">
        <x:f>F$50</x:f>
        <x:v>88.93830206903867</x:v>
      </x:c>
    </x:row>
    <x:row r="9">
      <x:c r="A9" s="258" t="n">
        <x:v>2008</x:v>
      </x:c>
      <x:c r="B9" s="260" t="n">
        <x:v>-2.892545664586325</x:v>
      </x:c>
      <x:c r="C9" s="260" t="n">
        <x:v>-2.773676452773486</x:v>
      </x:c>
      <x:c r="D9" s="260" t="n">
        <x:v>-1.336646828157722</x:v>
      </x:c>
      <x:c r="E9" s="260" t="n">
        <x:v>-1.450842986662372</x:v>
      </x:c>
      <x:c r="F9" s="260" t="n">
        <x:v>2.942703423551406</x:v>
      </x:c>
      <x:c r="G9" s="260" t="n">
        <x:v>-0.3059487509157224</x:v>
      </x:c>
      <x:c r="H9" s="260" t="n">
        <x:v>-0.7215951766155886</x:v>
      </x:c>
      <x:c r="I9" s="260" t="n">
        <x:v>-3.130106145545206</x:v>
      </x:c>
      <x:c r="J9" s="260" t="n">
        <x:v>1.422997835512152</x:v>
      </x:c>
      <x:c r="K9" s="260" t="n">
        <x:v>-0.8025167062472658</x:v>
      </x:c>
      <x:c r="M9" s="258" t="str">
        <x:v>Servicios públicos</x:v>
      </x:c>
      <x:c r="N9" s="268" t="n">
        <x:f>E$50/100-1</x:f>
        <x:v>-0.05527701252750761</x:v>
      </x:c>
      <x:c r="O9" s="267" t="n">
        <x:f>AVERAGE(E$6:E$25)</x:f>
        <x:v>-0.2843176470529272</x:v>
      </x:c>
      <x:c r="P9" s="288" t="n">
        <x:f>COUNTIF(E$6:E$25,"&gt;0")</x:f>
        <x:v>8</x:v>
      </x:c>
      <x:c r="Q9" s="267" t="n">
        <x:f>E$50</x:f>
        <x:v>94.47229874724924</x:v>
      </x:c>
    </x:row>
    <x:row r="10">
      <x:c r="A10" s="240" t="n">
        <x:v>2009</x:v>
      </x:c>
      <x:c r="B10" s="261" t="n">
        <x:v>-2.590852329266908</x:v>
      </x:c>
      <x:c r="C10" s="261" t="n">
        <x:v>7.47984825443352</x:v>
      </x:c>
      <x:c r="D10" s="261" t="n">
        <x:v>-2.243911980422449</x:v>
      </x:c>
      <x:c r="E10" s="261" t="n">
        <x:v>-0.1068556254839663</x:v>
      </x:c>
      <x:c r="F10" s="261" t="n">
        <x:v>-1.273374282883108</x:v>
      </x:c>
      <x:c r="G10" s="261" t="n">
        <x:v>-0.8667333601195416</x:v>
      </x:c>
      <x:c r="H10" s="261" t="n">
        <x:v>-4.614811382471736</x:v>
      </x:c>
      <x:c r="I10" s="261" t="n">
        <x:v>1.781420136174772</x:v>
      </x:c>
      <x:c r="J10" s="261" t="n">
        <x:v>0.5441217409924994</x:v>
      </x:c>
      <x:c r="K10" s="261" t="n">
        <x:v>-0.5678534418132021</x:v>
      </x:c>
      <x:c r="M10" s="240" t="str">
        <x:v>Manufactura</x:v>
      </x:c>
      <x:c r="N10" s="270" t="n">
        <x:f>D$50/100-1</x:f>
        <x:v>-0.05151134514979072</x:v>
      </x:c>
      <x:c r="O10" s="269" t="n">
        <x:f>AVERAGE(D$6:D$25)</x:f>
        <x:v>-0.26442725413783064</x:v>
      </x:c>
      <x:c r="P10" s="289" t="n">
        <x:f>COUNTIF(D$6:D$25,"&gt;0")</x:f>
        <x:v>5</x:v>
      </x:c>
      <x:c r="Q10" s="269" t="n">
        <x:f>D$50</x:f>
        <x:v>94.84886548502092</x:v>
      </x:c>
    </x:row>
    <x:row r="11">
      <x:c r="A11" s="258" t="n">
        <x:v>2010</x:v>
      </x:c>
      <x:c r="B11" s="260" t="n">
        <x:v>-1.477630430449354</x:v>
      </x:c>
      <x:c r="C11" s="260" t="n">
        <x:v>-1.436831008686941</x:v>
      </x:c>
      <x:c r="D11" s="260" t="n">
        <x:v>-1.13392960469398</x:v>
      </x:c>
      <x:c r="E11" s="260" t="n">
        <x:v>-1.781737834070235</x:v>
      </x:c>
      <x:c r="F11" s="260" t="n">
        <x:v>-4.045150293251145</x:v>
      </x:c>
      <x:c r="G11" s="260" t="n">
        <x:v>-0.6030235193831022</x:v>
      </x:c>
      <x:c r="H11" s="260" t="n">
        <x:v>1.395843991272702</x:v>
      </x:c>
      <x:c r="I11" s="260" t="n">
        <x:v>-0.8755149188567843</x:v>
      </x:c>
      <x:c r="J11" s="260" t="n">
        <x:v>0.1625002093923058</x:v>
      </x:c>
      <x:c r="K11" s="260" t="n">
        <x:v>-0.929584553144964</x:v>
      </x:c>
      <x:c r="M11" s="258" t="str">
        <x:v>Transporte y comunicaciones</x:v>
      </x:c>
      <x:c r="N11" s="268" t="n">
        <x:f>H$50/100-1</x:f>
        <x:v>0.042583650298000375</x:v>
      </x:c>
      <x:c r="O11" s="267" t="n">
        <x:f>AVERAGE(H$6:H$25)</x:f>
        <x:v>0.20850955782880237</x:v>
      </x:c>
      <x:c r="P11" s="288" t="n">
        <x:f>COUNTIF(H$6:H$25,"&gt;0")</x:f>
        <x:v>12</x:v>
      </x:c>
      <x:c r="Q11" s="267" t="n">
        <x:f>H$50</x:f>
        <x:v>104.25836502980003</x:v>
      </x:c>
    </x:row>
    <x:row r="12">
      <x:c r="A12" s="240" t="n">
        <x:v>2011</x:v>
      </x:c>
      <x:c r="B12" s="261" t="n">
        <x:v>1.048826208660588</x:v>
      </x:c>
      <x:c r="C12" s="261" t="n">
        <x:v>0.6739551271593776</x:v>
      </x:c>
      <x:c r="D12" s="261" t="n">
        <x:v>-0.3094782491891603</x:v>
      </x:c>
      <x:c r="E12" s="261" t="n">
        <x:v>-1.885836348836071</x:v>
      </x:c>
      <x:c r="F12" s="261" t="n">
        <x:v>-1.797824699690425</x:v>
      </x:c>
      <x:c r="G12" s="261" t="n">
        <x:v>1.572113705527552</x:v>
      </x:c>
      <x:c r="H12" s="261" t="n">
        <x:v>2.363843860762408</x:v>
      </x:c>
      <x:c r="I12" s="261" t="n">
        <x:v>-0.6831860217051045</x:v>
      </x:c>
      <x:c r="J12" s="261" t="n">
        <x:v>1.07900877130184</x:v>
      </x:c>
      <x:c r="K12" s="261" t="n">
        <x:v>0.2752486512386846</x:v>
      </x:c>
      <x:c r="M12" s="240" t="str">
        <x:v>Servicios sociales y personales</x:v>
      </x:c>
      <x:c r="N12" s="270" t="n">
        <x:f>J$50/100-1</x:f>
        <x:v>0.14156831094000788</x:v>
      </x:c>
      <x:c r="O12" s="269" t="n">
        <x:f>AVERAGE(J$6:J$25)</x:f>
        <x:v>0.6620151416670758</x:v>
      </x:c>
      <x:c r="P12" s="289" t="n">
        <x:f>COUNTIF(J$6:J$25,"&gt;0")</x:f>
        <x:v>14</x:v>
      </x:c>
      <x:c r="Q12" s="269" t="n">
        <x:f>J$50</x:f>
        <x:v>114.1568310940008</x:v>
      </x:c>
    </x:row>
    <x:row r="13">
      <x:c r="A13" s="258" t="n">
        <x:v>2012</x:v>
      </x:c>
      <x:c r="B13" s="260" t="n">
        <x:v>1.952064286352201</x:v>
      </x:c>
      <x:c r="C13" s="260" t="n">
        <x:v>-0.447550476814877</x:v>
      </x:c>
      <x:c r="D13" s="260" t="n">
        <x:v>-0.8681517368122245</x:v>
      </x:c>
      <x:c r="E13" s="260" t="n">
        <x:v>-0.6530209466856807</x:v>
      </x:c>
      <x:c r="F13" s="260" t="n">
        <x:v>-1.587085875840158</x:v>
      </x:c>
      <x:c r="G13" s="260" t="n">
        <x:v>0.5944412202015918</x:v>
      </x:c>
      <x:c r="H13" s="260" t="n">
        <x:v>0.001877170370519821</x:v>
      </x:c>
      <x:c r="I13" s="260" t="n">
        <x:v>-0.8943863385913149</x:v>
      </x:c>
      <x:c r="J13" s="260" t="n">
        <x:v>1.397321476764957</x:v>
      </x:c>
      <x:c r="K13" s="260" t="n">
        <x:v>-0.1579749693463642</x:v>
      </x:c>
      <x:c r="M13" s="258" t="str">
        <x:v>Agropecuario</x:v>
      </x:c>
      <x:c r="N13" s="268" t="n">
        <x:f>B$50/100-1</x:f>
        <x:v>0.21842316702846487</x:v>
      </x:c>
      <x:c r="O13" s="267" t="n">
        <x:f>AVERAGE(B$6:B$25)</x:f>
        <x:v>0.98778768361216</x:v>
      </x:c>
      <x:c r="P13" s="288" t="n">
        <x:f>COUNTIF(B$6:B$25,"&gt;0")</x:f>
        <x:v>15</x:v>
      </x:c>
      <x:c r="Q13" s="267" t="n">
        <x:f>B$50</x:f>
        <x:v>121.84231670284649</x:v>
      </x:c>
    </x:row>
    <x:row r="14">
      <x:c r="A14" s="240" t="n">
        <x:v>2013</x:v>
      </x:c>
      <x:c r="B14" s="261" t="n">
        <x:v>4.197681309931134</x:v>
      </x:c>
      <x:c r="C14" s="261" t="n">
        <x:v>-2.015863651162977</x:v>
      </x:c>
      <x:c r="D14" s="261" t="n">
        <x:v>-0.3658403928904055</x:v>
      </x:c>
      <x:c r="E14" s="261" t="n">
        <x:v>-0.2332157642015922</x:v>
      </x:c>
      <x:c r="F14" s="261" t="n">
        <x:v>2.74464359668742</x:v>
      </x:c>
      <x:c r="G14" s="261" t="n">
        <x:v>1.432043931337711</x:v>
      </x:c>
      <x:c r="H14" s="261" t="n">
        <x:v>3.086188211600319</x:v>
      </x:c>
      <x:c r="I14" s="261" t="n">
        <x:v>-1.923851305058301</x:v>
      </x:c>
      <x:c r="J14" s="261" t="n">
        <x:v>-0.3560353916220773</x:v>
      </x:c>
      <x:c r="K14" s="261" t="n">
        <x:v>0.306614560825448</x:v>
      </x:c>
      <x:c r="M14" s="240" t="str">
        <x:v>Comercio y hotelería</x:v>
      </x:c>
      <x:c r="N14" s="270" t="n">
        <x:f>G$50/100-1</x:f>
        <x:v>0.23168807026714955</x:v>
      </x:c>
      <x:c r="O14" s="269" t="n">
        <x:f>AVERAGE(G$6:G$25)</x:f>
        <x:v>1.0419282166758854</x:v>
      </x:c>
      <x:c r="P14" s="289" t="n">
        <x:f>COUNTIF(G$6:G$25,"&gt;0")</x:f>
        <x:v>15</x:v>
      </x:c>
      <x:c r="Q14" s="269" t="n">
        <x:f>G$50</x:f>
        <x:v>123.16880702671496</x:v>
      </x:c>
    </x:row>
    <x:row r="15">
      <x:c r="A15" s="258" t="n">
        <x:v>2014</x:v>
      </x:c>
      <x:c r="B15" s="260" t="n">
        <x:v>1.787500963451692</x:v>
      </x:c>
      <x:c r="C15" s="260" t="n">
        <x:v>-7.472051244634315</x:v>
      </x:c>
      <x:c r="D15" s="260" t="n">
        <x:v>-0.8482892953277448</x:v>
      </x:c>
      <x:c r="E15" s="260" t="n">
        <x:v>-1.24565312425305</x:v>
      </x:c>
      <x:c r="F15" s="260" t="n">
        <x:v>0.0008095250582940139</x:v>
      </x:c>
      <x:c r="G15" s="260" t="n">
        <x:v>1.952494208810829</x:v>
      </x:c>
      <x:c r="H15" s="260" t="n">
        <x:v>-0.2565072206131145</x:v>
      </x:c>
      <x:c r="I15" s="260" t="n">
        <x:v>0.5090571564940483</x:v>
      </x:c>
      <x:c r="J15" s="260" t="n">
        <x:v>-1.682766849357254</x:v>
      </x:c>
      <x:c r="K15" s="260" t="n">
        <x:v>-0.7006231912463368</x:v>
      </x:c>
      <x:c r="M15" s="277" t="str">
        <x:v>Total de la economía</x:v>
      </x:c>
      <x:c r="N15" s="294" t="n">
        <x:f>K$50/100-1</x:f>
        <x:v>-0.014514146306010334</x:v>
      </x:c>
      <x:c r="O15" s="278" t="n">
        <x:f>AVERAGE(K$6:K$25)</x:f>
        <x:v>-0.07310253468928843</x:v>
      </x:c>
      <x:c r="P15" s="295" t="n">
        <x:f>COUNTIF(K$6:K$25,"&gt;0")</x:f>
        <x:v>11</x:v>
      </x:c>
      <x:c r="Q15" s="278" t="n">
        <x:f>K$50</x:f>
        <x:v>98.54858536939896</x:v>
      </x:c>
    </x:row>
    <x:row r="16">
      <x:c r="A16" s="240" t="n">
        <x:v>2015</x:v>
      </x:c>
      <x:c r="B16" s="261" t="n">
        <x:v>2.762916370718889</x:v>
      </x:c>
      <x:c r="C16" s="261" t="n">
        <x:v>-3.415592255890976</x:v>
      </x:c>
      <x:c r="D16" s="261" t="n">
        <x:v>-1.015543048457428</x:v>
      </x:c>
      <x:c r="E16" s="261" t="n">
        <x:v>-1.543882404429683</x:v>
      </x:c>
      <x:c r="F16" s="261" t="n">
        <x:v>-0.6957646025933855</x:v>
      </x:c>
      <x:c r="G16" s="261" t="n">
        <x:v>3.511944102071161</x:v>
      </x:c>
      <x:c r="H16" s="261" t="n">
        <x:v>-0.8220538651203575</x:v>
      </x:c>
      <x:c r="I16" s="261" t="n">
        <x:v>1.61209709700093</x:v>
      </x:c>
      <x:c r="J16" s="261" t="n">
        <x:v>1.366675099229038</x:v>
      </x:c>
      <x:c r="K16" s="261" t="n">
        <x:v>0.3862721610498867</x:v>
      </x:c>
    </x:row>
    <x:row r="17">
      <x:c r="A17" s="258" t="n">
        <x:v>2016</x:v>
      </x:c>
      <x:c r="B17" s="260" t="n">
        <x:v>1.258488630478841</x:v>
      </x:c>
      <x:c r="C17" s="260" t="n">
        <x:v>-1.884536099711061</x:v>
      </x:c>
      <x:c r="D17" s="260" t="n">
        <x:v>0.4785829203743972</x:v>
      </x:c>
      <x:c r="E17" s="260" t="n">
        <x:v>-1.405680943475681</x:v>
      </x:c>
      <x:c r="F17" s="260" t="n">
        <x:v>-0.03753195565899592</x:v>
      </x:c>
      <x:c r="G17" s="260" t="n">
        <x:v>0.05446474834625281</x:v>
      </x:c>
      <x:c r="H17" s="260" t="n">
        <x:v>-0.2149464472042305</x:v>
      </x:c>
      <x:c r="I17" s="260" t="n">
        <x:v>-3.575045430069326</x:v>
      </x:c>
      <x:c r="J17" s="260" t="n">
        <x:v>-0.2901764827156512</x:v>
      </x:c>
      <x:c r="K17" s="260" t="n">
        <x:v>-0.5792483290867567</x:v>
      </x:c>
    </x:row>
    <x:row r="18">
      <x:c r="A18" s="240" t="n">
        <x:v>2017</x:v>
      </x:c>
      <x:c r="B18" s="261" t="n">
        <x:v>1.409865751323098</x:v>
      </x:c>
      <x:c r="C18" s="261" t="n">
        <x:v>-3.905633942038841</x:v>
      </x:c>
      <x:c r="D18" s="261" t="n">
        <x:v>-0.7413111430048136</x:v>
      </x:c>
      <x:c r="E18" s="261" t="n">
        <x:v>-0.5646658872885291</x:v>
      </x:c>
      <x:c r="F18" s="261" t="n">
        <x:v>-1.311985617985779</x:v>
      </x:c>
      <x:c r="G18" s="261" t="n">
        <x:v>0.9996880238608787</x:v>
      </x:c>
      <x:c r="H18" s="261" t="n">
        <x:v>0.477430042363971</x:v>
      </x:c>
      <x:c r="I18" s="261" t="n">
        <x:v>-0.9114071366321785</x:v>
      </x:c>
      <x:c r="J18" s="261" t="n">
        <x:v>3.203928254913168</x:v>
      </x:c>
      <x:c r="K18" s="261" t="n">
        <x:v>0.118901336283229</x:v>
      </x:c>
    </x:row>
    <x:row r="19">
      <x:c r="A19" s="258" t="n">
        <x:v>2018</x:v>
      </x:c>
      <x:c r="B19" s="260" t="n">
        <x:v>0.9653513786288801</x:v>
      </x:c>
      <x:c r="C19" s="260" t="n">
        <x:v>-4.47748708434442</x:v>
      </x:c>
      <x:c r="D19" s="260" t="n">
        <x:v>-0.1244861122196323</x:v>
      </x:c>
      <x:c r="E19" s="260" t="n">
        <x:v>-0.1995400957006175</x:v>
      </x:c>
      <x:c r="F19" s="260" t="n">
        <x:v>0.2993275297417135</x:v>
      </x:c>
      <x:c r="G19" s="260" t="n">
        <x:v>1.242190422264866</x:v>
      </x:c>
      <x:c r="H19" s="260" t="n">
        <x:v>1.394856333770233</x:v>
      </x:c>
      <x:c r="I19" s="260" t="n">
        <x:v>-0.06093497941928661</x:v>
      </x:c>
      <x:c r="J19" s="260" t="n">
        <x:v>0.484025651499655</x:v>
      </x:c>
      <x:c r="K19" s="260" t="n">
        <x:v>0.1551641099456086</x:v>
      </x:c>
    </x:row>
    <x:row r="20">
      <x:c r="A20" s="240" t="n">
        <x:v>2019</x:v>
      </x:c>
      <x:c r="B20" s="261" t="n">
        <x:v>2.965325833617302</x:v>
      </x:c>
      <x:c r="C20" s="261" t="n">
        <x:v>-1.079371321192514</x:v>
      </x:c>
      <x:c r="D20" s="261" t="n">
        <x:v>-0.01082758408335449</x:v>
      </x:c>
      <x:c r="E20" s="261" t="n">
        <x:v>0.02033753977293618</x:v>
      </x:c>
      <x:c r="F20" s="261" t="n">
        <x:v>-2.155008539843339</x:v>
      </x:c>
      <x:c r="G20" s="261" t="n">
        <x:v>0.06304138586469277</x:v>
      </x:c>
      <x:c r="H20" s="261" t="n">
        <x:v>0.06996641145780869</x:v>
      </x:c>
      <x:c r="I20" s="261" t="n">
        <x:v>0.1063362877133422</x:v>
      </x:c>
      <x:c r="J20" s="261" t="n">
        <x:v>1.22946186677786</x:v>
      </x:c>
      <x:c r="K20" s="261" t="n">
        <x:v>0.1445613406672486</x:v>
      </x:c>
    </x:row>
    <x:row r="21">
      <x:c r="A21" s="258" t="n">
        <x:v>2020</x:v>
      </x:c>
      <x:c r="B21" s="260" t="n">
        <x:v>3.389846279710143</x:v>
      </x:c>
      <x:c r="C21" s="260" t="n">
        <x:v>-8.483295101509748</x:v>
      </x:c>
      <x:c r="D21" s="260" t="n">
        <x:v>-1.930024983786335</x:v>
      </x:c>
      <x:c r="E21" s="260" t="n">
        <x:v>-0.8771261881283954</x:v>
      </x:c>
      <x:c r="F21" s="260" t="n">
        <x:v>-9.761664221966765</x:v>
      </x:c>
      <x:c r="G21" s="260" t="n">
        <x:v>1.953203178637931</x:v>
      </x:c>
      <x:c r="H21" s="260" t="n">
        <x:v>-1.071150570203915</x:v>
      </x:c>
      <x:c r="I21" s="260" t="n">
        <x:v>0.6845146278142356</x:v>
      </x:c>
      <x:c r="J21" s="260" t="n">
        <x:v>2.264607604362762</x:v>
      </x:c>
      <x:c r="K21" s="260" t="n">
        <x:v>-0.7796008846031638</x:v>
      </x:c>
    </x:row>
    <x:row r="22">
      <x:c r="A22" s="240" t="n">
        <x:v>2021</x:v>
      </x:c>
      <x:c r="B22" s="261" t="n">
        <x:v>1.204753520687161</x:v>
      </x:c>
      <x:c r="C22" s="261" t="n">
        <x:v>-2.474676532535527</x:v>
      </x:c>
      <x:c r="D22" s="261" t="n">
        <x:v>3.971828176181219</x:v>
      </x:c>
      <x:c r="E22" s="261" t="n">
        <x:v>1.474460386710647</x:v>
      </x:c>
      <x:c r="F22" s="261" t="n">
        <x:v>-2.709261822021173</x:v>
      </x:c>
      <x:c r="G22" s="261" t="n">
        <x:v>6.420836065770416</x:v>
      </x:c>
      <x:c r="H22" s="261" t="n">
        <x:v>0.3587370035522532</x:v>
      </x:c>
      <x:c r="I22" s="261" t="n">
        <x:v>-6.700988681017407</x:v>
      </x:c>
      <x:c r="J22" s="261" t="n">
        <x:v>0.09759719797223987</x:v>
      </x:c>
      <x:c r="K22" s="261" t="n">
        <x:v>0.6143126189117988</x:v>
      </x:c>
    </x:row>
    <x:row r="23">
      <x:c r="A23" s="258" t="n">
        <x:v>2022</x:v>
      </x:c>
      <x:c r="B23" s="260" t="n">
        <x:v>-0.8934836504422696</x:v>
      </x:c>
      <x:c r="C23" s="260" t="n">
        <x:v>-1.176746730117744</x:v>
      </x:c>
      <x:c r="D23" s="260" t="n">
        <x:v>-0.5837025630257742</x:v>
      </x:c>
      <x:c r="E23" s="260" t="n">
        <x:v>1.372060406158591</x:v>
      </x:c>
      <x:c r="F23" s="260" t="n">
        <x:v>0.7594919834269636</x:v>
      </x:c>
      <x:c r="G23" s="260" t="n">
        <x:v>0.5579108185024388</x:v>
      </x:c>
      <x:c r="H23" s="260" t="n">
        <x:v>2.453327082308974</x:v>
      </x:c>
      <x:c r="I23" s="260" t="n">
        <x:v>0.28125281628314</x:v>
      </x:c>
      <x:c r="J23" s="260" t="n">
        <x:v>-0.6500565364832234</x:v>
      </x:c>
      <x:c r="K23" s="260" t="n">
        <x:v>0.04447767008751363</x:v>
      </x:c>
    </x:row>
    <x:row r="24">
      <x:c r="A24" s="240" t="n">
        <x:v>2023</x:v>
      </x:c>
      <x:c r="B24" s="261" t="n">
        <x:v>0.4196019054416946</x:v>
      </x:c>
      <x:c r="C24" s="261" t="n">
        <x:v>-0.6001539964622307</x:v>
      </x:c>
      <x:c r="D24" s="261" t="n">
        <x:v>-1.039587191784061</x:v>
      </x:c>
      <x:c r="E24" s="261" t="n">
        <x:v>0.3562460571739474</x:v>
      </x:c>
      <x:c r="F24" s="261" t="n">
        <x:v>-1.415255627508405</x:v>
      </x:c>
      <x:c r="G24" s="261" t="n">
        <x:v>-3.489136011462874</x:v>
      </x:c>
      <x:c r="H24" s="261" t="n">
        <x:v>-2.502589639302834</x:v>
      </x:c>
      <x:c r="I24" s="261" t="n">
        <x:v>-0.1634304909659878</x:v>
      </x:c>
      <x:c r="J24" s="261" t="n">
        <x:v>3.47272225290181</x:v>
      </x:c>
      <x:c r="K24" s="261" t="n">
        <x:v>-0.5057410597271336</x:v>
      </x:c>
    </x:row>
    <x:row r="25">
      <x:c r="A25" s="258" t="n">
        <x:v>2024</x:v>
      </x:c>
      <x:c r="B25" s="260" t="n">
        <x:v>3.80223132133859</x:v>
      </x:c>
      <x:c r="C25" s="260" t="n">
        <x:v>-2.330699844728882</x:v>
      </x:c>
      <x:c r="D25" s="260" t="n">
        <x:v>-1.195620071694396</x:v>
      </x:c>
      <x:c r="E25" s="260" t="n">
        <x:v>0.9377115268507139</x:v>
      </x:c>
      <x:c r="F25" s="260" t="n">
        <x:v>0.5336129650584118</x:v>
      </x:c>
      <x:c r="G25" s="260" t="n">
        <x:v>-0.09326703363218547</x:v>
      </x:c>
      <x:c r="H25" s="260" t="n">
        <x:v>1.149510533655444</x:v>
      </x:c>
      <x:c r="I25" s="260" t="n">
        <x:v>0.4076931953080921</x:v>
      </x:c>
      <x:c r="J25" s="260" t="n">
        <x:v>2.744973157275121</x:v>
      </x:c>
      <x:c r="K25" s="260" t="n">
        <x:v>0.6230836420717408</x:v>
      </x:c>
    </x:row>
    <x:row r="29" ht="25.5" customHeight="1">
      <x:c r="A29" s="234" t="str">
        <x:v>Año</x:v>
      </x:c>
      <x:c r="B29" s="234" t="str">
        <x:v>Agropecuario</x:v>
      </x:c>
      <x:c r="C29" s="234" t="str">
        <x:v>Minería</x:v>
      </x:c>
      <x:c r="D29" s="234" t="str">
        <x:v>Manufactura</x:v>
      </x:c>
      <x:c r="E29" s="234" t="str">
        <x:v>Servicios públicos</x:v>
      </x:c>
      <x:c r="F29" s="234" t="str">
        <x:v>Construcción</x:v>
      </x:c>
      <x:c r="G29" s="234" t="str">
        <x:v>Comercio y hotelería</x:v>
      </x:c>
      <x:c r="H29" s="234" t="str">
        <x:v>Transporte y comunicaciones</x:v>
      </x:c>
      <x:c r="I29" s="234" t="str">
        <x:v>Financieras</x:v>
      </x:c>
      <x:c r="J29" s="234" t="str">
        <x:v>Servicios sociales y personales</x:v>
      </x:c>
      <x:c r="K29" s="234" t="str">
        <x:v>Total de la economía</x:v>
      </x:c>
    </x:row>
    <x:row r="30">
      <x:c r="A30" s="239" t="n">
        <x:v>2004</x:v>
      </x:c>
      <x:c r="B30" s="259" t="n">
        <x:v>100</x:v>
      </x:c>
      <x:c r="C30" s="259" t="n">
        <x:v>100</x:v>
      </x:c>
      <x:c r="D30" s="259" t="n">
        <x:v>100</x:v>
      </x:c>
      <x:c r="E30" s="259" t="n">
        <x:v>100</x:v>
      </x:c>
      <x:c r="F30" s="259" t="n">
        <x:v>100</x:v>
      </x:c>
      <x:c r="G30" s="259" t="n">
        <x:v>100</x:v>
      </x:c>
      <x:c r="H30" s="259" t="n">
        <x:v>100</x:v>
      </x:c>
      <x:c r="I30" s="259" t="n">
        <x:v>100</x:v>
      </x:c>
      <x:c r="J30" s="259" t="n">
        <x:v>100</x:v>
      </x:c>
      <x:c r="K30" s="259" t="n">
        <x:v>100</x:v>
      </x:c>
    </x:row>
    <x:row r="31">
      <x:c r="A31" s="258" t="n">
        <x:v>2005</x:v>
      </x:c>
      <x:c r="B31" s="267" t="n">
        <x:f>B30*EXP(B6/100)</x:f>
        <x:v>95.49532192228683</x:v>
      </x:c>
      <x:c r="C31" s="267" t="n">
        <x:f>C30*EXP(C6/100)</x:f>
        <x:v>104.69120762273403</x:v>
      </x:c>
      <x:c r="D31" s="267" t="n">
        <x:f>D30*EXP(D6/100)</x:f>
        <x:v>101.45821683124099</x:v>
      </x:c>
      <x:c r="E31" s="267" t="n">
        <x:f>E30*EXP(E6/100)</x:f>
        <x:v>100.34370672425351</x:v>
      </x:c>
      <x:c r="F31" s="267" t="n">
        <x:f>F30*EXP(F6/100)</x:f>
        <x:v>106.5536486353118</x:v>
      </x:c>
      <x:c r="G31" s="267" t="n">
        <x:f>G30*EXP(G6/100)</x:f>
        <x:v>101.33723847040785</x:v>
      </x:c>
      <x:c r="H31" s="267" t="n">
        <x:f>H30*EXP(H6/100)</x:f>
        <x:v>102.0654552834779</x:v>
      </x:c>
      <x:c r="I31" s="267" t="n">
        <x:f>I30*EXP(I6/100)</x:f>
        <x:v>96.60059720185234</x:v>
      </x:c>
      <x:c r="J31" s="267" t="n">
        <x:f>J30*EXP(J6/100)</x:f>
        <x:v>96.3850974884739</x:v>
      </x:c>
      <x:c r="K31" s="267" t="n">
        <x:f>K30*EXP(K6/100)</x:f>
        <x:v>100.07323815630977</x:v>
      </x:c>
    </x:row>
    <x:row r="32">
      <x:c r="A32" s="240" t="n">
        <x:v>2006</x:v>
      </x:c>
      <x:c r="B32" s="269" t="n">
        <x:f>B31*EXP(B7/100)</x:f>
        <x:v>98.14011843223415</x:v>
      </x:c>
      <x:c r="C32" s="269" t="n">
        <x:f>C31*EXP(C7/100)</x:f>
        <x:v>101.46238399841586</x:v>
      </x:c>
      <x:c r="D32" s="269" t="n">
        <x:f>D31*EXP(D7/100)</x:f>
        <x:v>104.08216241001378</x:v>
      </x:c>
      <x:c r="E32" s="269" t="n">
        <x:f>E31*EXP(E7/100)</x:f>
        <x:v>101.65529309959942</x:v>
      </x:c>
      <x:c r="F32" s="269" t="n">
        <x:f>F31*EXP(F7/100)</x:f>
        <x:v>108.92651638645933</x:v>
      </x:c>
      <x:c r="G32" s="269" t="n">
        <x:f>G31*EXP(G7/100)</x:f>
        <x:v>105.88861493720036</x:v>
      </x:c>
      <x:c r="H32" s="269" t="n">
        <x:f>H31*EXP(H7/100)</x:f>
        <x:v>102.93056759674948</x:v>
      </x:c>
      <x:c r="I32" s="269" t="n">
        <x:f>I31*EXP(I7/100)</x:f>
        <x:v>97.9917927367023</x:v>
      </x:c>
      <x:c r="J32" s="269" t="n">
        <x:f>J31*EXP(J7/100)</x:f>
        <x:v>99.44982305056266</x:v>
      </x:c>
      <x:c r="K32" s="269" t="n">
        <x:f>K31*EXP(K7/100)</x:f>
        <x:v>102.30538016467929</x:v>
      </x:c>
    </x:row>
    <x:row r="33">
      <x:c r="A33" s="258" t="n">
        <x:v>2007</x:v>
      </x:c>
      <x:c r="B33" s="267" t="n">
        <x:f>B32*EXP(B8/100)</x:f>
        <x:v>100.44680720667216</x:v>
      </x:c>
      <x:c r="C33" s="267" t="n">
        <x:f>C32*EXP(C8/100)</x:f>
        <x:v>97.16835180179982</x:v>
      </x:c>
      <x:c r="D33" s="267" t="n">
        <x:f>D32*EXP(D8/100)</x:f>
        <x:v>104.08981498259254</x:v>
      </x:c>
      <x:c r="E33" s="267" t="n">
        <x:f>E32*EXP(E8/100)</x:f>
        <x:v>102.12311333187144</x:v>
      </x:c>
      <x:c r="F33" s="267" t="n">
        <x:f>F32*EXP(F8/100)</x:f>
        <x:v>108.09776826245448</x:v>
      </x:c>
      <x:c r="G33" s="267" t="n">
        <x:f>G32*EXP(G8/100)</x:f>
        <x:v>106.01633626727204</x:v>
      </x:c>
      <x:c r="H33" s="267" t="n">
        <x:f>H32*EXP(H8/100)</x:f>
        <x:v>101.63549497860559</x:v>
      </x:c>
      <x:c r="I33" s="267" t="n">
        <x:f>I32*EXP(I8/100)</x:f>
        <x:v>92.73191917262061</x:v>
      </x:c>
      <x:c r="J33" s="267" t="n">
        <x:f>J32*EXP(J8/100)</x:f>
        <x:v>96.8016612427892</x:v>
      </x:c>
      <x:c r="K33" s="267" t="n">
        <x:f>K32*EXP(K8/100)</x:f>
        <x:v>100.89645061555012</x:v>
      </x:c>
    </x:row>
    <x:row r="34">
      <x:c r="A34" s="240" t="n">
        <x:v>2008</x:v>
      </x:c>
      <x:c r="B34" s="269" t="n">
        <x:f>B33*EXP(B9/100)</x:f>
        <x:v>97.58295621341344</x:v>
      </x:c>
      <x:c r="C34" s="269" t="n">
        <x:f>C33*EXP(C9/100)</x:f>
        <x:v>94.51025008947931</x:v>
      </x:c>
      <x:c r="D34" s="269" t="n">
        <x:f>D33*EXP(D9/100)</x:f>
        <x:v>102.7077589529687</x:v>
      </x:c>
      <x:c r="E34" s="269" t="n">
        <x:f>E33*EXP(E9/100)</x:f>
        <x:v>100.65216369133141</x:v>
      </x:c>
      <x:c r="F34" s="269" t="n">
        <x:f>F33*EXP(F9/100)</x:f>
        <x:v>111.32603113467755</x:v>
      </x:c>
      <x:c r="G34" s="269" t="n">
        <x:f>G33*EXP(G9/100)</x:f>
        <x:v>105.69247628610252</x:v>
      </x:c>
      <x:c r="H34" s="269" t="n">
        <x:f>H33*EXP(H9/100)</x:f>
        <x:v>100.9047378739921</x:v>
      </x:c>
      <x:c r="I34" s="269" t="n">
        <x:f>I33*EXP(I9/100)</x:f>
        <x:v>89.87426873074355</x:v>
      </x:c>
      <x:c r="J34" s="269" t="n">
        <x:f>J33*EXP(J9/100)</x:f>
        <x:v>98.18899423597286</x:v>
      </x:c>
      <x:c r="K34" s="269" t="n">
        <x:f>K33*EXP(K9/100)</x:f>
        <x:v>100.08998010192718</x:v>
      </x:c>
    </x:row>
    <x:row r="35">
      <x:c r="A35" s="258" t="n">
        <x:v>2009</x:v>
      </x:c>
      <x:c r="B35" s="267" t="n">
        <x:f>B34*EXP(B10/100)</x:f>
        <x:v>95.08719625227322</x:v>
      </x:c>
      <x:c r="C35" s="267" t="n">
        <x:f>C34*EXP(C10/100)</x:f>
        <x:v>101.85057393089761</x:v>
      </x:c>
      <x:c r="D35" s="267" t="n">
        <x:f>D34*EXP(D10/100)</x:f>
        <x:v>100.42875232161225</x:v>
      </x:c>
      <x:c r="E35" s="267" t="n">
        <x:f>E34*EXP(E10/100)</x:f>
        <x:v>100.5446686347417</x:v>
      </x:c>
      <x:c r="F35" s="267" t="n">
        <x:f>F34*EXP(F10/100)</x:f>
        <x:v>109.91742155370427</x:v>
      </x:c>
      <x:c r="G35" s="267" t="n">
        <x:f>G34*EXP(G10/100)</x:f>
        <x:v>104.78036284077692</x:v>
      </x:c>
      <x:c r="H35" s="267" t="n">
        <x:f>H34*EXP(H10/100)</x:f>
        <x:v>96.35398643911402</x:v>
      </x:c>
      <x:c r="I35" s="267" t="n">
        <x:f>I34*EXP(I10/100)</x:f>
        <x:v>91.48965271959948</x:v>
      </x:c>
      <x:c r="J35" s="267" t="n">
        <x:f>J34*EXP(J10/100)</x:f>
        <x:v>98.72471807405284</x:v>
      </x:c>
      <x:c r="K35" s="267" t="n">
        <x:f>K34*EXP(K10/100)</x:f>
        <x:v>99.5232263931783</x:v>
      </x:c>
    </x:row>
    <x:row r="36">
      <x:c r="A36" s="240" t="n">
        <x:v>2010</x:v>
      </x:c>
      <x:c r="B36" s="269" t="n">
        <x:f>B35*EXP(B11/100)</x:f>
        <x:v>93.69248859389344</x:v>
      </x:c>
      <x:c r="C36" s="269" t="n">
        <x:f>C35*EXP(C11/100)</x:f>
        <x:v>100.39761656972003</x:v>
      </x:c>
      <x:c r="D36" s="269" t="n">
        <x:f>D35*EXP(D11/100)</x:f>
        <x:v>99.29639317835887</x:v>
      </x:c>
      <x:c r="E36" s="269" t="n">
        <x:f>E35*EXP(E11/100)</x:f>
        <x:v>98.76909127284928</x:v>
      </x:c>
      <x:c r="F36" s="269" t="n">
        <x:f>F35*EXP(F11/100)</x:f>
        <x:v>105.55982647538065</x:v>
      </x:c>
      <x:c r="G36" s="269" t="n">
        <x:f>G35*EXP(G11/100)</x:f>
        <x:v>104.15041388826427</x:v>
      </x:c>
      <x:c r="H36" s="269" t="n">
        <x:f>H35*EXP(H11/100)</x:f>
        <x:v>97.70836830778764</x:v>
      </x:c>
      <x:c r="I36" s="269" t="n">
        <x:f>I35*EXP(I11/100)</x:f>
        <x:v>90.69214341157411</x:v>
      </x:c>
      <x:c r="J36" s="269" t="n">
        <x:f>J35*EXP(J11/100)</x:f>
        <x:v>98.88527636609426</x:v>
      </x:c>
      <x:c r="K36" s="269" t="n">
        <x:f>K35*EXP(K11/100)</x:f>
        <x:v>98.60236059813096</x:v>
      </x:c>
    </x:row>
    <x:row r="37">
      <x:c r="A37" s="258" t="n">
        <x:v>2011</x:v>
      </x:c>
      <x:c r="B37" s="267" t="n">
        <x:f>B36*EXP(B12/100)</x:f>
        <x:v>94.6803312908577</x:v>
      </x:c>
      <x:c r="C37" s="267" t="n">
        <x:f>C36*EXP(C12/100)</x:f>
        <x:v>101.07653669282848</x:v>
      </x:c>
      <x:c r="D37" s="267" t="n">
        <x:f>D36*EXP(D12/100)</x:f>
        <x:v>98.98956746355742</x:v>
      </x:c>
      <x:c r="E37" s="267" t="n">
        <x:f>E36*EXP(E12/100)</x:f>
        <x:v>96.92392097831281</x:v>
      </x:c>
      <x:c r="F37" s="267" t="n">
        <x:f>F36*EXP(F12/100)</x:f>
        <x:v>103.67900345177608</x:v>
      </x:c>
      <x:c r="G37" s="267" t="n">
        <x:f>G36*EXP(G12/100)</x:f>
        <x:v>105.80071513565149</x:v>
      </x:c>
      <x:c r="H37" s="267" t="n">
        <x:f>H36*EXP(H12/100)</x:f>
        <x:v>100.04555648375651</x:v>
      </x:c>
      <x:c r="I37" s="267" t="n">
        <x:f>I36*EXP(I12/100)</x:f>
        <x:v>90.07465905014296</x:v>
      </x:c>
      <x:c r="J37" s="267" t="n">
        <x:f>J36*EXP(J12/100)</x:f>
        <x:v>99.95803433987061</x:v>
      </x:c>
      <x:c r="K37" s="267" t="n">
        <x:f>K36*EXP(K12/100)</x:f>
        <x:v>98.87413612341564</x:v>
      </x:c>
    </x:row>
    <x:row r="38">
      <x:c r="A38" s="240" t="n">
        <x:v>2012</x:v>
      </x:c>
      <x:c r="B38" s="269" t="n">
        <x:f>B37*EXP(B13/100)</x:f>
        <x:v>96.54670940877</x:v>
      </x:c>
      <x:c r="C38" s="269" t="n">
        <x:f>C37*EXP(C13/100)</x:f>
        <x:v>100.62517895117065</x:v>
      </x:c>
      <x:c r="D38" s="269" t="n">
        <x:f>D37*EXP(D13/100)</x:f>
        <x:v>98.13390740236278</x:v>
      </x:c>
      <x:c r="E38" s="269" t="n">
        <x:f>E37*EXP(E13/100)</x:f>
        <x:v>96.2930495750662</x:v>
      </x:c>
      <x:c r="F38" s="269" t="n">
        <x:f>F37*EXP(F13/100)</x:f>
        <x:v>102.04651737605204</x:v>
      </x:c>
      <x:c r="G38" s="269" t="n">
        <x:f>G37*EXP(G13/100)</x:f>
        <x:v>106.43151119610026</x:v>
      </x:c>
      <x:c r="H38" s="269" t="n">
        <x:f>H37*EXP(H13/100)</x:f>
        <x:v>100.04743452692684</x:v>
      </x:c>
      <x:c r="I38" s="269" t="n">
        <x:f>I37*EXP(I13/100)</x:f>
        <x:v>89.27263554572151</x:v>
      </x:c>
      <x:c r="J38" s="269" t="n">
        <x:f>J37*EXP(J13/100)</x:f>
        <x:v>101.36457347256886</x:v>
      </x:c>
      <x:c r="K38" s="269" t="n">
        <x:f>K37*EXP(K13/100)</x:f>
        <x:v>98.71806304783794</x:v>
      </x:c>
    </x:row>
    <x:row r="39">
      <x:c r="A39" s="258" t="n">
        <x:v>2013</x:v>
      </x:c>
      <x:c r="B39" s="267" t="n">
        <x:f>B38*EXP(B14/100)</x:f>
        <x:v>100.68569556767055</x:v>
      </x:c>
      <x:c r="C39" s="267" t="n">
        <x:f>C38*EXP(C14/100)</x:f>
        <x:v>98.61702140798778</x:v>
      </x:c>
      <x:c r="D39" s="267" t="n">
        <x:f>D38*EXP(D14/100)</x:f>
        <x:v>97.7755498380096</x:v>
      </x:c>
      <x:c r="E39" s="267" t="n">
        <x:f>E38*EXP(E14/100)</x:f>
        <x:v>96.06874066716081</x:v>
      </x:c>
      <x:c r="F39" s="267" t="n">
        <x:f>F38*EXP(F14/100)</x:f>
        <x:v>104.88612082244916</x:v>
      </x:c>
      <x:c r="G39" s="267" t="n">
        <x:f>G38*EXP(G14/100)</x:f>
        <x:v>107.96662269441656</x:v>
      </x:c>
      <x:c r="H39" s="267" t="n">
        <x:f>H38*EXP(H14/100)</x:f>
        <x:v>103.18322598248906</x:v>
      </x:c>
      <x:c r="I39" s="267" t="n">
        <x:f>I38*EXP(I14/100)</x:f>
        <x:v>87.57157815513051</x:v>
      </x:c>
      <x:c r="J39" s="267" t="n">
        <x:f>J38*EXP(J14/100)</x:f>
        <x:v>101.00432140941147</x:v>
      </x:c>
      <x:c r="K39" s="267" t="n">
        <x:f>K38*EXP(K14/100)</x:f>
        <x:v>99.02121151447946</x:v>
      </x:c>
    </x:row>
    <x:row r="40">
      <x:c r="A40" s="240" t="n">
        <x:v>2014</x:v>
      </x:c>
      <x:c r="B40" s="269" t="n">
        <x:f>B39*EXP(B15/100)</x:f>
        <x:v>102.50163496153573</x:v>
      </x:c>
      <x:c r="C40" s="269" t="n">
        <x:f>C39*EXP(C15/100)</x:f>
        <x:v>91.51687350546929</x:v>
      </x:c>
      <x:c r="D40" s="269" t="n">
        <x:f>D39*EXP(D15/100)</x:f>
        <x:v>96.9496383274263</x:v>
      </x:c>
      <x:c r="E40" s="269" t="n">
        <x:f>E39*EXP(E15/100)</x:f>
        <x:v>94.87947980775073</x:v>
      </x:c>
      <x:c r="F40" s="269" t="n">
        <x:f>F39*EXP(F15/100)</x:f>
        <x:v>104.88696990531666</x:v>
      </x:c>
      <x:c r="G40" s="269" t="n">
        <x:f>G39*EXP(G15/100)</x:f>
        <x:v>110.09537904499774</x:v>
      </x:c>
      <x:c r="H40" s="269" t="n">
        <x:f>H39*EXP(H15/100)</x:f>
        <x:v>102.91889271926956</x:v>
      </x:c>
      <x:c r="I40" s="269" t="n">
        <x:f>I39*EXP(I15/100)</x:f>
        <x:v>88.01850412998037</x:v>
      </x:c>
      <x:c r="J40" s="269" t="n">
        <x:f>J39*EXP(J15/100)</x:f>
        <x:v>99.31887501113623</x:v>
      </x:c>
      <x:c r="K40" s="269" t="n">
        <x:f>K39*EXP(K15/100)</x:f>
        <x:v>98.32987061768438</x:v>
      </x:c>
    </x:row>
    <x:row r="41">
      <x:c r="A41" s="258" t="n">
        <x:v>2015</x:v>
      </x:c>
      <x:c r="B41" s="267" t="n">
        <x:f>B40*EXP(B16/100)</x:f>
        <x:v>105.37315560386715</x:v>
      </x:c>
      <x:c r="C41" s="267" t="n">
        <x:f>C40*EXP(C16/100)</x:f>
        <x:v>88.44381066345149</x:v>
      </x:c>
      <x:c r="D41" s="267" t="n">
        <x:f>D40*EXP(D16/100)</x:f>
        <x:v>95.97005547657018</x:v>
      </x:c>
      <x:c r="E41" s="267" t="n">
        <x:f>E40*EXP(E16/100)</x:f>
        <x:v>93.4259018531823</x:v>
      </x:c>
      <x:c r="F41" s="267" t="n">
        <x:f>F40*EXP(F16/100)</x:f>
        <x:v>104.1597363465314</x:v>
      </x:c>
      <x:c r="G41" s="267" t="n">
        <x:f>G40*EXP(G16/100)</x:f>
        <x:v>114.03056350030491</x:v>
      </x:c>
      <x:c r="H41" s="267" t="n">
        <x:f>H40*EXP(H16/100)</x:f>
        <x:v>102.07631196250652</x:v>
      </x:c>
      <x:c r="I41" s="267" t="n">
        <x:f>I40*EXP(I16/100)</x:f>
        <x:v>89.44894696441801</x:v>
      </x:c>
      <x:c r="J41" s="267" t="n">
        <x:f>J40*EXP(J16/100)</x:f>
        <x:v>100.685559138191</x:v>
      </x:c>
      <x:c r="K41" s="267" t="n">
        <x:f>K40*EXP(K16/100)</x:f>
        <x:v>98.71042605054738</x:v>
      </x:c>
    </x:row>
    <x:row r="42">
      <x:c r="A42" s="240" t="n">
        <x:v>2016</x:v>
      </x:c>
      <x:c r="B42" s="269" t="n">
        <x:f>B41*EXP(B17/100)</x:f>
        <x:v>106.7076443684973</x:v>
      </x:c>
      <x:c r="C42" s="269" t="n">
        <x:f>C41*EXP(C17/100)</x:f>
        <x:v>86.79266223414224</x:v>
      </x:c>
      <x:c r="D42" s="269" t="n">
        <x:f>D41*EXP(D17/100)</x:f>
        <x:v>96.43045258296297</x:v>
      </x:c>
      <x:c r="E42" s="269" t="n">
        <x:f>E41*EXP(E17/100)</x:f>
        <x:v>92.12181885085279</x:v>
      </x:c>
      <x:c r="F42" s="269" t="n">
        <x:f>F41*EXP(F17/100)</x:f>
        <x:v>104.1206504957722</x:v>
      </x:c>
      <x:c r="G42" s="269" t="n">
        <x:f>G41*EXP(G17/100)</x:f>
        <x:v>114.09268687588755</x:v>
      </x:c>
      <x:c r="H42" s="269" t="n">
        <x:f>H41*EXP(H17/100)</x:f>
        <x:v>101.85713819400581</x:v>
      </x:c>
      <x:c r="I42" s="269" t="n">
        <x:f>I41*EXP(I17/100)</x:f>
        <x:v>86.30759345318097</x:v>
      </x:c>
      <x:c r="J42" s="269" t="n">
        <x:f>J41*EXP(J17/100)</x:f>
        <x:v>100.39381681260235</x:v>
      </x:c>
      <x:c r="K42" s="269" t="n">
        <x:f>K41*EXP(K17/100)</x:f>
        <x:v>98.14030037285751</x:v>
      </x:c>
    </x:row>
    <x:row r="43">
      <x:c r="A43" s="258" t="n">
        <x:v>2017</x:v>
      </x:c>
      <x:c r="B43" s="267" t="n">
        <x:f>B42*EXP(B18/100)</x:f>
        <x:v>108.22273417021299</x:v>
      </x:c>
      <x:c r="C43" s="267" t="n">
        <x:f>C42*EXP(C18/100)</x:f>
        <x:v>83.46820176980685</x:v>
      </x:c>
      <x:c r="D43" s="267" t="n">
        <x:f>D42*EXP(D18/100)</x:f>
        <x:v>95.71824598770168</x:v>
      </x:c>
      <x:c r="E43" s="267" t="n">
        <x:f>E42*EXP(E18/100)</x:f>
        <x:v>91.6031042455233</x:v>
      </x:c>
      <x:c r="F43" s="267" t="n">
        <x:f>F42*EXP(F18/100)</x:f>
        <x:v>102.76352465072122</x:v>
      </x:c>
      <x:c r="G43" s="267" t="n">
        <x:f>G42*EXP(G18/100)</x:f>
        <x:v>115.238977923397</x:v>
      </x:c>
      <x:c r="H43" s="267" t="n">
        <x:f>H42*EXP(H18/100)</x:f>
        <x:v>102.3445974846588</x:v>
      </x:c>
      <x:c r="I43" s="267" t="n">
        <x:f>I42*EXP(I18/100)</x:f>
        <x:v>85.52455364767214</x:v>
      </x:c>
      <x:c r="J43" s="267" t="n">
        <x:f>J42*EXP(J18/100)</x:f>
        <x:v>103.66244532852829</x:v>
      </x:c>
      <x:c r="K43" s="267" t="n">
        <x:f>K42*EXP(K18/100)</x:f>
        <x:v>98.25705990199765</x:v>
      </x:c>
    </x:row>
    <x:row r="44">
      <x:c r="A44" s="240" t="n">
        <x:v>2018</x:v>
      </x:c>
      <x:c r="B44" s="269" t="n">
        <x:f>B43*EXP(B19/100)</x:f>
        <x:v>109.2725227482713</x:v>
      </x:c>
      <x:c r="C44" s="269" t="n">
        <x:f>C43*EXP(C19/100)</x:f>
        <x:v>79.81335699637104</x:v>
      </x:c>
      <x:c r="D44" s="269" t="n">
        <x:f>D43*EXP(D19/100)</x:f>
        <x:v>95.59916420010885</x:v>
      </x:c>
      <x:c r="E44" s="269" t="n">
        <x:f>E43*EXP(E19/100)</x:f>
        <x:v>91.42050156701471</x:v>
      </x:c>
      <x:c r="F44" s="269" t="n">
        <x:f>F43*EXP(F19/100)</x:f>
        <x:v>103.07158499523283</x:v>
      </x:c>
      <x:c r="G44" s="269" t="n">
        <x:f>G43*EXP(G19/100)</x:f>
        <x:v>116.67939329905793</x:v>
      </x:c>
      <x:c r="H44" s="269" t="n">
        <x:f>H43*EXP(H19/100)</x:f>
        <x:v>103.78216024465162</x:v>
      </x:c>
      <x:c r="I44" s="269" t="n">
        <x:f>I43*EXP(I19/100)</x:f>
        <x:v>85.47245515322398</x:v>
      </x:c>
      <x:c r="J44" s="269" t="n">
        <x:f>J43*EXP(J19/100)</x:f>
        <x:v>104.16541442264105</x:v>
      </x:c>
      <x:c r="K44" s="269" t="n">
        <x:f>K43*EXP(K19/100)</x:f>
        <x:v>98.4096379370162</x:v>
      </x:c>
    </x:row>
    <x:row r="45">
      <x:c r="A45" s="258" t="n">
        <x:v>2019</x:v>
      </x:c>
      <x:c r="B45" s="267" t="n">
        <x:f>B44*EXP(B20/100)</x:f>
        <x:v>112.5613300322428</x:v>
      </x:c>
      <x:c r="C45" s="267" t="n">
        <x:f>C44*EXP(C20/100)</x:f>
        <x:v>78.95650712522972</x:v>
      </x:c>
      <x:c r="D45" s="267" t="n">
        <x:f>D44*EXP(D20/100)</x:f>
        <x:v>95.58881368058782</x:v>
      </x:c>
      <x:c r="E45" s="267" t="n">
        <x:f>E44*EXP(E20/100)</x:f>
        <x:v>91.43909613865664</x:v>
      </x:c>
      <x:c r="F45" s="267" t="n">
        <x:f>F44*EXP(F20/100)</x:f>
        <x:v>100.87414607597732</x:v>
      </x:c>
      <x:c r="G45" s="267" t="n">
        <x:f>G44*EXP(G20/100)</x:f>
        <x:v>116.75297279594261</x:v>
      </x:c>
      <x:c r="H45" s="267" t="n">
        <x:f>H44*EXP(H20/100)</x:f>
        <x:v>103.85479830606745</x:v>
      </x:c>
      <x:c r="I45" s="267" t="n">
        <x:f>I44*EXP(I20/100)</x:f>
        <x:v>85.56339172977239</x:v>
      </x:c>
      <x:c r="J45" s="267" t="n">
        <x:f>J44*EXP(J20/100)</x:f>
        <x:v>105.45399353423056</x:v>
      </x:c>
      <x:c r="K45" s="267" t="n">
        <x:f>K44*EXP(K20/100)</x:f>
        <x:v>98.55200310666982</x:v>
      </x:c>
    </x:row>
    <x:row r="46">
      <x:c r="A46" s="240" t="n">
        <x:v>2020</x:v>
      </x:c>
      <x:c r="B46" s="269" t="n">
        <x:f>B45*EXP(B21/100)</x:f>
        <x:v>116.44239552879155</x:v>
      </x:c>
      <x:c r="C46" s="269" t="n">
        <x:f>C45*EXP(C21/100)</x:f>
        <x:v>72.53463755353192</x:v>
      </x:c>
      <x:c r="D46" s="269" t="n">
        <x:f>D45*EXP(D21/100)</x:f>
        <x:v>93.76161510820535</x:v>
      </x:c>
      <x:c r="E46" s="269" t="n">
        <x:f>E45*EXP(E21/100)</x:f>
        <x:v>90.64056705366409</x:v>
      </x:c>
      <x:c r="F46" s="269" t="n">
        <x:f>F45*EXP(F21/100)</x:f>
        <x:v>91.49250159707121</x:v>
      </x:c>
      <x:c r="G46" s="269" t="n">
        <x:f>G45*EXP(G21/100)</x:f>
        <x:v>119.05581192459769</x:v>
      </x:c>
      <x:c r="H46" s="269" t="n">
        <x:f>H45*EXP(H21/100)</x:f>
        <x:v>102.74829378623564</x:v>
      </x:c>
      <x:c r="I46" s="269" t="n">
        <x:f>I45*EXP(I21/100)</x:f>
        <x:v>86.15109482425736</x:v>
      </x:c>
      <x:c r="J46" s="269" t="n">
        <x:f>J45*EXP(J21/100)</x:f>
        <x:v>107.86935873821885</x:v>
      </x:c>
      <x:c r="K46" s="269" t="n">
        <x:f>K45*EXP(K21/100)</x:f>
        <x:v>97.78667793578207</x:v>
      </x:c>
    </x:row>
    <x:row r="47">
      <x:c r="A47" s="258" t="n">
        <x:v>2021</x:v>
      </x:c>
      <x:c r="B47" s="267" t="n">
        <x:f>B46*EXP(B22/100)</x:f>
        <x:v>117.85372383186734</x:v>
      </x:c>
      <x:c r="C47" s="267" t="n">
        <x:f>C46*EXP(C22/100)</x:f>
        <x:v>70.76166801061464</x:v>
      </x:c>
      <x:c r="D47" s="267" t="n">
        <x:f>D46*EXP(D22/100)</x:f>
        <x:v>97.56061073510652</x:v>
      </x:c>
      <x:c r="E47" s="267" t="n">
        <x:f>E46*EXP(E22/100)</x:f>
        <x:v>91.98692769446201</x:v>
      </x:c>
      <x:c r="F47" s="267" t="n">
        <x:f>F46*EXP(F22/100)</x:f>
        <x:v>89.0470071874313</x:v>
      </x:c>
      <x:c r="G47" s="267" t="n">
        <x:f>G46*EXP(G22/100)</x:f>
        <x:v>126.95094494803536</x:v>
      </x:c>
      <x:c r="H47" s="267" t="n">
        <x:f>H46*EXP(H22/100)</x:f>
        <x:v>103.11755187325849</x:v>
      </x:c>
      <x:c r="I47" s="267" t="n">
        <x:f>I46*EXP(I22/100)</x:f>
        <x:v>80.56729391207624</x:v>
      </x:c>
      <x:c r="J47" s="267" t="n">
        <x:f>J46*EXP(J22/100)</x:f>
        <x:v>107.97468760046641</x:v>
      </x:c>
      <x:c r="K47" s="267" t="n">
        <x:f>K46*EXP(K22/100)</x:f>
        <x:v>98.38924275886416</x:v>
      </x:c>
    </x:row>
    <x:row r="48">
      <x:c r="A48" s="240" t="n">
        <x:v>2022</x:v>
      </x:c>
      <x:c r="B48" s="269" t="n">
        <x:f>B47*EXP(B23/100)</x:f>
        <x:v>116.80541030697766</x:v>
      </x:c>
      <x:c r="C48" s="269" t="n">
        <x:f>C47*EXP(C23/100)</x:f>
        <x:v>69.9338625354434</x:v>
      </x:c>
      <x:c r="D48" s="269" t="n">
        <x:f>D47*EXP(D23/100)</x:f>
        <x:v>96.99280570812313</x:v>
      </x:c>
      <x:c r="E48" s="269" t="n">
        <x:f>E47*EXP(E23/100)</x:f>
        <x:v>93.25774214277392</x:v>
      </x:c>
      <x:c r="F48" s="269" t="n">
        <x:f>F47*EXP(F23/100)</x:f>
        <x:v>89.72588682340385</x:v>
      </x:c>
      <x:c r="G48" s="269" t="n">
        <x:f>G47*EXP(G23/100)</x:f>
        <x:v>127.66119744956168</x:v>
      </x:c>
      <x:c r="H48" s="269" t="n">
        <x:f>H47*EXP(H23/100)</x:f>
        <x:v>105.67865030553521</x:v>
      </x:c>
      <x:c r="I48" s="269" t="n">
        <x:f>I47*EXP(I23/100)</x:f>
        <x:v>80.79421065048388</x:v>
      </x:c>
      <x:c r="J48" s="269" t="n">
        <x:f>J47*EXP(J23/100)</x:f>
        <x:v>107.27506751270028</x:v>
      </x:c>
      <x:c r="K48" s="269" t="n">
        <x:f>K47*EXP(K23/100)</x:f>
        <x:v>98.43301373509365</x:v>
      </x:c>
    </x:row>
    <x:row r="49">
      <x:c r="A49" s="258" t="n">
        <x:v>2023</x:v>
      </x:c>
      <x:c r="B49" s="267" t="n">
        <x:f>B48*EXP(B24/100)</x:f>
        <x:v>117.29655774567186</x:v>
      </x:c>
      <x:c r="C49" s="267" t="n">
        <x:f>C48*EXP(C24/100)</x:f>
        <x:v>69.51540860455684</x:v>
      </x:c>
      <x:c r="D49" s="267" t="n">
        <x:f>D48*EXP(D24/100)</x:f>
        <x:v>95.98970401548564</x:v>
      </x:c>
      <x:c r="E49" s="267" t="n">
        <x:f>E48*EXP(E24/100)</x:f>
        <x:v>93.59056164836231</x:v>
      </x:c>
      <x:c r="F49" s="267" t="n">
        <x:f>F48*EXP(F24/100)</x:f>
        <x:v>88.46497973608855</x:v>
      </x:c>
      <x:c r="G49" s="267" t="n">
        <x:f>G48*EXP(G24/100)</x:f>
        <x:v>123.28373650671612</x:v>
      </x:c>
      <x:c r="H49" s="267" t="n">
        <x:f>H48*EXP(H24/100)</x:f>
        <x:v>103.06676604072315</x:v>
      </x:c>
      <x:c r="I49" s="267" t="n">
        <x:f>I48*EXP(I24/100)</x:f>
        <x:v>80.66227611534087</x:v>
      </x:c>
      <x:c r="J49" s="267" t="n">
        <x:f>J48*EXP(J24/100)</x:f>
        <x:v>111.06587377835548</x:v>
      </x:c>
      <x:c r="K49" s="267" t="n">
        <x:f>K48*EXP(K24/100)</x:f>
        <x:v>97.93645427922685</x:v>
      </x:c>
    </x:row>
    <x:row r="50">
      <x:c r="A50" s="240" t="n">
        <x:v>2024</x:v>
      </x:c>
      <x:c r="B50" s="269" t="n">
        <x:f>B49*EXP(B25/100)</x:f>
        <x:v>121.84231670284649</x:v>
      </x:c>
      <x:c r="C50" s="269" t="n">
        <x:f>C49*EXP(C25/100)</x:f>
        <x:v>67.913948196052</x:v>
      </x:c>
      <x:c r="D50" s="269" t="n">
        <x:f>D49*EXP(D25/100)</x:f>
        <x:v>94.84886548502092</x:v>
      </x:c>
      <x:c r="E50" s="269" t="n">
        <x:f>E49*EXP(E25/100)</x:f>
        <x:v>94.47229874724924</x:v>
      </x:c>
      <x:c r="F50" s="269" t="n">
        <x:f>F49*EXP(F25/100)</x:f>
        <x:v>88.93830206903867</x:v>
      </x:c>
      <x:c r="G50" s="269" t="n">
        <x:f>G49*EXP(G25/100)</x:f>
        <x:v>123.16880702671496</x:v>
      </x:c>
      <x:c r="H50" s="269" t="n">
        <x:f>H49*EXP(H25/100)</x:f>
        <x:v>104.25836502980003</x:v>
      </x:c>
      <x:c r="I50" s="269" t="n">
        <x:f>I49*EXP(I25/100)</x:f>
        <x:v>80.99180199711117</x:v>
      </x:c>
      <x:c r="J50" s="269" t="n">
        <x:f>J49*EXP(J25/100)</x:f>
        <x:v>114.1568310940008</x:v>
      </x:c>
      <x:c r="K50" s="269" t="n">
        <x:f>K49*EXP(K25/100)</x:f>
        <x:v>98.54858536939896</x:v>
      </x:c>
    </x:row>
  </x:sheetData>
  <x:mergeCells>
    <x:mergeCell ref="A1:Q1"/>
    <x:mergeCell ref="A2:Q2"/>
  </x:mergeCells>
  <x:conditionalFormatting sqref="B6:K25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25.6299991607666" hidden="0" customWidth="1"/>
    <x:col min="3" max="3" width="18.75" hidden="0" customWidth="1"/>
    <x:col min="4" max="4" width="13.75" hidden="0" customWidth="1"/>
    <x:col min="5" max="5" width="14.380000114440918" hidden="0" customWidth="1"/>
    <x:col min="6" max="6" width="14.380000114440918" hidden="0" customWidth="1"/>
    <x:col min="7" max="7" width="13.130000114440918" hidden="0" customWidth="1"/>
    <x:col min="8" max="8" width="13.75" hidden="0" customWidth="1"/>
    <x:col min="9" max="9" width="15.630000114440918" hidden="0" customWidth="1"/>
    <x:col min="10" max="10" width="2.5" hidden="0" customWidth="1"/>
    <x:col min="11" max="11" width="31.25" hidden="0" customWidth="1"/>
    <x:col min="12" max="12" width="27.5" hidden="0" customWidth="1"/>
    <x:col min="13" max="13" width="15.630000114440918" hidden="0" customWidth="1"/>
  </x:cols>
  <x:sheetData>
    <x:row r="1" ht="25.5" customHeight="1">
      <x:c r="A1" s="224" t="str">
        <x:v>Ponderadores Törnqvist y contribuciones anuales por actividad</x:v>
      </x:c>
      <x:c r="B1" s="224"/>
      <x:c r="C1" s="224"/>
      <x:c r="D1" s="224"/>
      <x:c r="E1" s="224"/>
      <x:c r="F1" s="224"/>
      <x:c r="G1" s="224"/>
      <x:c r="H1" s="224"/>
      <x:c r="I1" s="224"/>
      <x:c r="J1" s="224"/>
      <x:c r="K1" s="224"/>
      <x:c r="L1" s="224"/>
      <x:c r="M1" s="224"/>
    </x:row>
    <x:row r="2" ht="22.5" customHeight="1">
      <x:c r="A2" s="228" t="str">
        <x:v>El peso directo usa el promedio de las participaciones del VBP nominal en t−1 y t. El peso implícito reproduce exactamente los totales publicados por el DANE.</x:v>
      </x:c>
      <x:c r="B2" s="228"/>
      <x:c r="C2" s="228"/>
      <x:c r="D2" s="228"/>
      <x:c r="E2" s="228"/>
      <x:c r="F2" s="228"/>
      <x:c r="G2" s="228"/>
      <x:c r="H2" s="228"/>
      <x:c r="I2" s="228"/>
      <x:c r="J2" s="228"/>
      <x:c r="K2" s="228"/>
      <x:c r="L2" s="228"/>
      <x:c r="M2" s="228"/>
    </x:row>
    <x:row r="5" ht="25.5" customHeight="1">
      <x:c r="A5" s="234" t="str">
        <x:v>Año</x:v>
      </x:c>
      <x:c r="B5" s="234" t="str">
        <x:v>Actividad</x:v>
      </x:c>
      <x:c r="C5" s="234" t="str">
        <x:v>VBP nominal (miles de millones de pesos)</x:v>
      </x:c>
      <x:c r="D5" s="234" t="str">
        <x:v>Participación VBP (%)</x:v>
      </x:c>
      <x:c r="E5" s="234" t="str">
        <x:v>Peso Törnqvist directo (%)</x:v>
      </x:c>
      <x:c r="F5" s="234" t="str">
        <x:v>Peso implícito exacto (%)</x:v>
      </x:c>
      <x:c r="G5" s="234" t="str">
        <x:v>Diferencia (p. p.)</x:v>
      </x:c>
      <x:c r="H5" s="234" t="str">
        <x:v>PTF de la actividad (%)</x:v>
      </x:c>
      <x:c r="I5" s="234" t="str">
        <x:v>Contribución a la PTF total (pp)</x:v>
      </x:c>
      <x:c r="K5" s="234" t="str">
        <x:v>Indicador de validación</x:v>
      </x:c>
      <x:c r="L5" s="234" t="str">
        <x:v>Resultado</x:v>
      </x:c>
    </x:row>
    <x:row r="6">
      <x:c r="A6" s="239" t="n">
        <x:v>2005</x:v>
      </x:c>
      <x:c r="B6" s="239" t="str">
        <x:v>Agropecuario</x:v>
      </x:c>
      <x:c r="C6" s="296" t="n">
        <x:v>39926</x:v>
      </x:c>
      <x:c r="D6" s="266" t="n">
        <x:f>C6/SUMIF($A$6:$A$185,A6,$C$6:$C$185)</x:f>
        <x:v>0.06795729818421967</x:v>
      </x:c>
      <x:c r="E6" s="266"/>
      <x:c r="F6" s="262" t="n">
        <x:v>0.06910778265732645</x:v>
      </x:c>
      <x:c r="G6" s="302"/>
      <x:c r="H6" s="259" t="n">
        <x:v>-4.609292480816046</x:v>
      </x:c>
      <x:c r="I6" s="265" t="n">
        <x:f>F6*H6</x:f>
        <x:v>-0.31853798296828434</x:v>
      </x:c>
      <x:c r="K6" s="243" t="str">
        <x:v>Periodo con VBP directo</x:v>
      </x:c>
      <x:c r="L6" s="239" t="str">
        <x:v>2006–2024</x:v>
      </x:c>
    </x:row>
    <x:row r="7">
      <x:c r="A7" s="258" t="n">
        <x:v>2005</x:v>
      </x:c>
      <x:c r="B7" s="258" t="str">
        <x:v>Minería</x:v>
      </x:c>
      <x:c r="C7" s="297" t="n">
        <x:v>31009</x:v>
      </x:c>
      <x:c r="D7" s="268" t="n">
        <x:f>C7/SUMIF($A$6:$A$185,A7,$C$6:$C$185)</x:f>
        <x:v>0.052779839187358304</x:v>
      </x:c>
      <x:c r="E7" s="268"/>
      <x:c r="F7" s="263" t="n">
        <x:v>0.0514555592497314</x:v>
      </x:c>
      <x:c r="G7" s="303"/>
      <x:c r="H7" s="260" t="n">
        <x:v>4.584495150191688</x:v>
      </x:c>
      <x:c r="I7" s="267" t="n">
        <x:f>F7*H7</x:f>
        <x:v>0.23589776183079467</x:v>
      </x:c>
      <x:c r="K7" s="244" t="str">
        <x:v>Comparaciones</x:v>
      </x:c>
      <x:c r="L7" s="240" t="n">
        <x:v>171</x:v>
      </x:c>
    </x:row>
    <x:row r="8">
      <x:c r="A8" s="240" t="n">
        <x:v>2005</x:v>
      </x:c>
      <x:c r="B8" s="240" t="str">
        <x:v>Manufactura</x:v>
      </x:c>
      <x:c r="C8" s="298" t="n">
        <x:v>155579</x:v>
      </x:c>
      <x:c r="D8" s="270" t="n">
        <x:f>C8/SUMIF($A$6:$A$185,A8,$C$6:$C$185)</x:f>
        <x:v>0.26480810735367205</x:v>
      </x:c>
      <x:c r="E8" s="270"/>
      <x:c r="F8" s="264" t="n">
        <x:v>0.2665230150247372</x:v>
      </x:c>
      <x:c r="G8" s="304"/>
      <x:c r="H8" s="261" t="n">
        <x:v>1.447687090475098</x:v>
      </x:c>
      <x:c r="I8" s="269" t="n">
        <x:f>F8*H8</x:f>
        <x:v>0.3858419281658126</x:v>
      </x:c>
      <x:c r="K8" s="244" t="str">
        <x:v>Diferencia máxima (p. p.)</x:v>
      </x:c>
      <x:c r="L8" s="301" t="n">
        <x:v>0.00030907848406203087</x:v>
      </x:c>
    </x:row>
    <x:row r="9">
      <x:c r="A9" s="258" t="n">
        <x:v>2005</x:v>
      </x:c>
      <x:c r="B9" s="258" t="str">
        <x:v>Servicios públicos</x:v>
      </x:c>
      <x:c r="C9" s="297" t="n">
        <x:v>19103</x:v>
      </x:c>
      <x:c r="D9" s="268" t="n">
        <x:f>C9/SUMIF($A$6:$A$185,A9,$C$6:$C$185)</x:f>
        <x:v>0.032514859169792826</x:v>
      </x:c>
      <x:c r="E9" s="268"/>
      <x:c r="F9" s="263" t="n">
        <x:v>0.033202905987464955</x:v>
      </x:c>
      <x:c r="G9" s="303"/>
      <x:c r="H9" s="260" t="n">
        <x:v>0.3431174026645718</x:v>
      </x:c>
      <x:c r="I9" s="267" t="n">
        <x:f>F9*H9</x:f>
        <x:v>0.011392494863334934</x:v>
      </x:c>
      <x:c r="K9" s="244" t="str">
        <x:v>RMSE de la diferencia en participación</x:v>
      </x:c>
      <x:c r="L9" s="305" t="n">
        <x:v>6.420616351435762e-7</x:v>
      </x:c>
    </x:row>
    <x:row r="10">
      <x:c r="A10" s="240" t="n">
        <x:v>2005</x:v>
      </x:c>
      <x:c r="B10" s="240" t="str">
        <x:v>Construcción</x:v>
      </x:c>
      <x:c r="C10" s="298" t="n">
        <x:v>44649</x:v>
      </x:c>
      <x:c r="D10" s="270" t="n">
        <x:f>C10/SUMIF($A$6:$A$185,A10,$C$6:$C$185)</x:f>
        <x:v>0.07599622818782807</x:v>
      </x:c>
      <x:c r="E10" s="270"/>
      <x:c r="F10" s="264" t="n">
        <x:v>0.07343856036019883</x:v>
      </x:c>
      <x:c r="G10" s="304"/>
      <x:c r="H10" s="261" t="n">
        <x:v>6.347841538002023</x:v>
      </x:c>
      <x:c r="I10" s="269" t="n">
        <x:f>F10*H10</x:f>
        <x:v>0.466176343945539</x:v>
      </x:c>
      <x:c r="K10" s="244" t="str">
        <x:v>Suma de pesos implícitos por año</x:v>
      </x:c>
      <x:c r="L10" s="240" t="str">
        <x:v>100%</x:v>
      </x:c>
    </x:row>
    <x:row r="11">
      <x:c r="A11" s="258" t="n">
        <x:v>2005</x:v>
      </x:c>
      <x:c r="B11" s="258" t="str">
        <x:v>Comercio y hotelería</x:v>
      </x:c>
      <x:c r="C11" s="297" t="n">
        <x:v>73072</x:v>
      </x:c>
      <x:c r="D11" s="268" t="n">
        <x:f>C11/SUMIF($A$6:$A$185,A11,$C$6:$C$185)</x:f>
        <x:v>0.12437448512040523</x:v>
      </x:c>
      <x:c r="E11" s="268"/>
      <x:c r="F11" s="263" t="n">
        <x:v>0.12445648819044325</x:v>
      </x:c>
      <x:c r="G11" s="303"/>
      <x:c r="H11" s="260" t="n">
        <x:v>1.328376354438846</x:v>
      </x:c>
      <x:c r="I11" s="267" t="n">
        <x:f>F11*H11</x:f>
        <x:v>0.1653250560686823</x:v>
      </x:c>
      <x:c r="K11" s="244" t="str">
        <x:v>Tratamiento de 2005</x:v>
      </x:c>
      <x:c r="L11" s="242" t="str">
        <x:v>Peso implícito exacto; no hay VBP Base 2015 público para 2004</x:v>
      </x:c>
    </x:row>
    <x:row r="12">
      <x:c r="A12" s="240" t="n">
        <x:v>2005</x:v>
      </x:c>
      <x:c r="B12" s="240" t="str">
        <x:v>Transporte y comunicaciones</x:v>
      </x:c>
      <x:c r="C12" s="298" t="n">
        <x:v>51949</x:v>
      </x:c>
      <x:c r="D12" s="270" t="n">
        <x:f>C12/SUMIF($A$6:$A$185,A12,$C$6:$C$185)</x:f>
        <x:v>0.08842142171447245</x:v>
      </x:c>
      <x:c r="E12" s="270"/>
      <x:c r="F12" s="264" t="n">
        <x:v>0.08762929871471975</x:v>
      </x:c>
      <x:c r="G12" s="304"/>
      <x:c r="H12" s="261" t="n">
        <x:v>2.044413994839967</x:v>
      </x:c>
      <x:c r="I12" s="269" t="n">
        <x:f>F12*H12</x:f>
        <x:v>0.17915056465038498</x:v>
      </x:c>
      <x:c r="K12" s="244" t="str">
        <x:v>Fuente de contribución</x:v>
      </x:c>
      <x:c r="L12" s="242" t="str">
        <x:v>Peso implícito × PTF de la actividad</x:v>
      </x:c>
    </x:row>
    <x:row r="13">
      <x:c r="A13" s="258" t="n">
        <x:v>2005</x:v>
      </x:c>
      <x:c r="B13" s="258" t="str">
        <x:v>Financieras</x:v>
      </x:c>
      <x:c r="C13" s="297" t="n">
        <x:v>81260</x:v>
      </x:c>
      <x:c r="D13" s="268" t="n">
        <x:f>C13/SUMIF($A$6:$A$185,A13,$C$6:$C$185)</x:f>
        <x:v>0.13831112684590718</x:v>
      </x:c>
      <x:c r="E13" s="268"/>
      <x:c r="F13" s="263" t="n">
        <x:v>0.13933442595151682</x:v>
      </x:c>
      <x:c r="G13" s="303"/>
      <x:c r="H13" s="260" t="n">
        <x:v>-3.458526257493652</x:v>
      </x:c>
      <x:c r="I13" s="267" t="n">
        <x:f>F13*H13</x:f>
        <x:v>-0.4818917707261259</x:v>
      </x:c>
    </x:row>
    <x:row r="14" ht="25.5" customHeight="1">
      <x:c r="A14" s="240" t="n">
        <x:v>2005</x:v>
      </x:c>
      <x:c r="B14" s="240" t="str">
        <x:v>Servicios sociales y personales</x:v>
      </x:c>
      <x:c r="C14" s="298" t="n">
        <x:v>90969</x:v>
      </x:c>
      <x:c r="D14" s="270" t="n">
        <x:f>C14/SUMIF($A$6:$A$185,A14,$C$6:$C$185)</x:f>
        <x:v>0.1548366342363442</x:v>
      </x:c>
      <x:c r="E14" s="270"/>
      <x:c r="F14" s="264" t="n">
        <x:v>0.15485196386386152</x:v>
      </x:c>
      <x:c r="G14" s="304"/>
      <x:c r="H14" s="261" t="n">
        <x:v>-3.68185866904421</x:v>
      </x:c>
      <x:c r="I14" s="269" t="n">
        <x:f>F14*H14</x:f>
        <x:v>-0.5701430455706793</x:v>
      </x:c>
      <x:c r="K14" s="234" t="str">
        <x:v>Actividad</x:v>
      </x:c>
      <x:c r="L14" s="234" t="str">
        <x:v>Peso implícito promedio (%)</x:v>
      </x:c>
      <x:c r="M14" s="234" t="str">
        <x:v>Contribución promedio (pp)</x:v>
      </x:c>
    </x:row>
    <x:row r="15">
      <x:c r="A15" s="258" t="n">
        <x:v>2006</x:v>
      </x:c>
      <x:c r="B15" s="258" t="str">
        <x:v>Agropecuario</x:v>
      </x:c>
      <x:c r="C15" s="297" t="n">
        <x:v>42954</x:v>
      </x:c>
      <x:c r="D15" s="268" t="n">
        <x:f>C15/SUMIF($A$6:$A$185,A15,$C$6:$C$185)</x:f>
        <x:v>0.06434786256157045</x:v>
      </x:c>
      <x:c r="E15" s="268" t="n">
        <x:f>(D15+D6)/2</x:f>
        <x:v>0.06615258037289506</x:v>
      </x:c>
      <x:c r="F15" s="263" t="n">
        <x:v>0.0661532994524544</x:v>
      </x:c>
      <x:c r="G15" s="303" t="n">
        <x:f>(F15-E15)*100</x:f>
        <x:v>0.00007190795593414734</x:v>
      </x:c>
      <x:c r="H15" s="260" t="n">
        <x:v>2.731897624932886</x:v>
      </x:c>
      <x:c r="I15" s="267" t="n">
        <x:f>F15*H15</x:f>
        <x:v>0.18072404165563416</x:v>
      </x:c>
      <x:c r="K15" s="239" t="str">
        <x:v>Agropecuario</x:v>
      </x:c>
      <x:c r="L15" s="266" t="n">
        <x:f>AVERAGEIF($B$6:$B$185,K15,$F$6:$F$185)</x:f>
        <x:v>0.06111395756281176</x:v>
      </x:c>
      <x:c r="M15" s="265" t="n">
        <x:f>AVERAGEIF($B$6:$B$185,K15,$I$6:$I$185)</x:f>
        <x:v>0.05633938378942453</x:v>
      </x:c>
    </x:row>
    <x:row r="16">
      <x:c r="A16" s="240" t="n">
        <x:v>2006</x:v>
      </x:c>
      <x:c r="B16" s="240" t="str">
        <x:v>Minería</x:v>
      </x:c>
      <x:c r="C16" s="298" t="n">
        <x:v>35926</x:v>
      </x:c>
      <x:c r="D16" s="270" t="n">
        <x:f>C16/SUMIF($A$6:$A$185,A16,$C$6:$C$185)</x:f>
        <x:v>0.05381946525089584</x:v>
      </x:c>
      <x:c r="E16" s="270" t="n">
        <x:f>(D16+D7)/2</x:f>
        <x:v>0.053299652219127074</x:v>
      </x:c>
      <x:c r="F16" s="264" t="n">
        <x:v>0.053301250630432805</x:v>
      </x:c>
      <x:c r="G16" s="304" t="n">
        <x:f>(F16-E16)*100</x:f>
        <x:v>0.00015984113057310179</x:v>
      </x:c>
      <x:c r="H16" s="261" t="n">
        <x:v>-3.132700869851751</x:v>
      </x:c>
      <x:c r="I16" s="269" t="n">
        <x:f>F16*H16</x:f>
        <x:v>-0.16697687421414303</x:v>
      </x:c>
      <x:c r="K16" s="258" t="str">
        <x:v>Minería</x:v>
      </x:c>
      <x:c r="L16" s="268" t="n">
        <x:f>AVERAGEIF($B$6:$B$185,K16,$F$6:$F$185)</x:f>
        <x:v>0.060812389672152134</x:v>
      </x:c>
      <x:c r="M16" s="267" t="n">
        <x:f>AVERAGEIF($B$6:$B$185,K16,$I$6:$I$185)</x:f>
        <x:v>-0.11483724381149556</x:v>
      </x:c>
    </x:row>
    <x:row r="17">
      <x:c r="A17" s="258" t="n">
        <x:v>2006</x:v>
      </x:c>
      <x:c r="B17" s="258" t="str">
        <x:v>Manufactura</x:v>
      </x:c>
      <x:c r="C17" s="297" t="n">
        <x:v>179219</x:v>
      </x:c>
      <x:c r="D17" s="268" t="n">
        <x:f>C17/SUMIF($A$6:$A$185,A17,$C$6:$C$185)</x:f>
        <x:v>0.26848162174470586</x:v>
      </x:c>
      <x:c r="E17" s="268" t="n">
        <x:f>(D17+D8)/2</x:f>
        <x:v>0.26664486454918895</x:v>
      </x:c>
      <x:c r="F17" s="263" t="n">
        <x:v>0.26664349387688413</x:v>
      </x:c>
      <x:c r="G17" s="303" t="n">
        <x:f>(F17-E17)*100</x:f>
        <x:v>-0.00013706723048234615</x:v>
      </x:c>
      <x:c r="H17" s="260" t="n">
        <x:v>2.553355351769602</x:v>
      </x:c>
      <x:c r="I17" s="267" t="n">
        <x:f>F17*H17</x:f>
        <x:v>0.6808355921050873</x:v>
      </x:c>
      <x:c r="K17" s="240" t="str">
        <x:v>Manufactura</x:v>
      </x:c>
      <x:c r="L17" s="270" t="n">
        <x:f>AVERAGEIF($B$6:$B$185,K17,$F$6:$F$185)</x:f>
        <x:v>0.23426094631934918</x:v>
      </x:c>
      <x:c r="M17" s="269" t="n">
        <x:f>AVERAGEIF($B$6:$B$185,K17,$I$6:$I$185)</x:f>
        <x:v>-0.057771038071094606</x:v>
      </x:c>
    </x:row>
    <x:row r="18">
      <x:c r="A18" s="240" t="n">
        <x:v>2006</x:v>
      </x:c>
      <x:c r="B18" s="240" t="str">
        <x:v>Servicios públicos</x:v>
      </x:c>
      <x:c r="C18" s="298" t="n">
        <x:v>20568</x:v>
      </x:c>
      <x:c r="D18" s="270" t="n">
        <x:f>C18/SUMIF($A$6:$A$185,A18,$C$6:$C$185)</x:f>
        <x:v>0.03081219064968061</x:v>
      </x:c>
      <x:c r="E18" s="270" t="n">
        <x:f>(D18+D9)/2</x:f>
        <x:v>0.031663524909736715</x:v>
      </x:c>
      <x:c r="F18" s="264" t="n">
        <x:v>0.03166346176551116</x:v>
      </x:c>
      <x:c r="G18" s="304" t="n">
        <x:f>(F18-E18)*100</x:f>
        <x:v>-0.00000631442255566439</x:v>
      </x:c>
      <x:c r="H18" s="261" t="n">
        <x:v>1.298625051503958</x:v>
      </x:c>
      <x:c r="I18" s="269" t="n">
        <x:f>F18*H18</x:f>
        <x:v>0.04111896466603053</x:v>
      </x:c>
      <x:c r="K18" s="258" t="str">
        <x:v>Servicios públicos</x:v>
      </x:c>
      <x:c r="L18" s="268" t="n">
        <x:f>AVERAGEIF($B$6:$B$185,K18,$F$6:$F$185)</x:f>
        <x:v>0.034241988123536855</x:v>
      </x:c>
      <x:c r="M18" s="267" t="n">
        <x:f>AVERAGEIF($B$6:$B$185,K18,$I$6:$I$185)</x:f>
        <x:v>-0.00791894898236196</x:v>
      </x:c>
    </x:row>
    <x:row r="19">
      <x:c r="A19" s="258" t="n">
        <x:v>2006</x:v>
      </x:c>
      <x:c r="B19" s="258" t="str">
        <x:v>Construcción</x:v>
      </x:c>
      <x:c r="C19" s="297" t="n">
        <x:v>53674</x:v>
      </x:c>
      <x:c r="D19" s="268" t="n">
        <x:f>C19/SUMIF($A$6:$A$185,A19,$C$6:$C$185)</x:f>
        <x:v>0.08040711400870076</x:v>
      </x:c>
      <x:c r="E19" s="268" t="n">
        <x:f>(D19+D10)/2</x:f>
        <x:v>0.07820167109826442</x:v>
      </x:c>
      <x:c r="F19" s="263" t="n">
        <x:v>0.07820092588392516</x:v>
      </x:c>
      <x:c r="G19" s="303" t="n">
        <x:f>(F19-E19)*100</x:f>
        <x:v>-0.0000745214339264999</x:v>
      </x:c>
      <x:c r="H19" s="260" t="n">
        <x:v>2.202489191980401</x:v>
      </x:c>
      <x:c r="I19" s="267" t="n">
        <x:f>F19*H19</x:f>
        <x:v>0.17223669406220554</x:v>
      </x:c>
      <x:c r="K19" s="240" t="str">
        <x:v>Construcción</x:v>
      </x:c>
      <x:c r="L19" s="270" t="n">
        <x:f>AVERAGEIF($B$6:$B$185,K19,$F$6:$F$185)</x:f>
        <x:v>0.08642956894925555</x:v>
      </x:c>
      <x:c r="M19" s="269" t="n">
        <x:f>AVERAGEIF($B$6:$B$185,K19,$I$6:$I$185)</x:f>
        <x:v>-0.05406124624315849</x:v>
      </x:c>
    </x:row>
    <x:row r="20">
      <x:c r="A20" s="240" t="n">
        <x:v>2006</x:v>
      </x:c>
      <x:c r="B20" s="240" t="str">
        <x:v>Comercio y hotelería</x:v>
      </x:c>
      <x:c r="C20" s="298" t="n">
        <x:v>83123</x:v>
      </x:c>
      <x:c r="D20" s="270" t="n">
        <x:f>C20/SUMIF($A$6:$A$185,A20,$C$6:$C$185)</x:f>
        <x:v>0.12452361548878849</x:v>
      </x:c>
      <x:c r="E20" s="270" t="n">
        <x:f>(D20+D11)/2</x:f>
        <x:v>0.12444905030459685</x:v>
      </x:c>
      <x:c r="F20" s="264" t="n">
        <x:v>0.12444795568892732</x:v>
      </x:c>
      <x:c r="G20" s="304" t="n">
        <x:f>(F20-E20)*100</x:f>
        <x:v>-0.00010946156695362808</x:v>
      </x:c>
      <x:c r="H20" s="261" t="n">
        <x:v>4.393378962035465</x:v>
      </x:c>
      <x:c r="I20" s="269" t="n">
        <x:f>F20*H20</x:f>
        <x:v>0.546747030392055</x:v>
      </x:c>
      <x:c r="K20" s="258" t="str">
        <x:v>Comercio y hotelería</x:v>
      </x:c>
      <x:c r="L20" s="268" t="n">
        <x:f>AVERAGEIF($B$6:$B$185,K20,$F$6:$F$185)</x:f>
        <x:v>0.12975852179698788</x:v>
      </x:c>
      <x:c r="M20" s="267" t="n">
        <x:f>AVERAGEIF($B$6:$B$185,K20,$I$6:$I$185)</x:f>
        <x:v>0.13011706667735695</x:v>
      </x:c>
    </x:row>
    <x:row r="21">
      <x:c r="A21" s="258" t="n">
        <x:v>2006</x:v>
      </x:c>
      <x:c r="B21" s="258" t="str">
        <x:v>Transporte y comunicaciones</x:v>
      </x:c>
      <x:c r="C21" s="297" t="n">
        <x:v>60288</x:v>
      </x:c>
      <x:c r="D21" s="268" t="n">
        <x:f>C21/SUMIF($A$6:$A$185,A21,$C$6:$C$185)</x:f>
        <x:v>0.0903153126161</x:v>
      </x:c>
      <x:c r="E21" s="268" t="n">
        <x:f>(D21+D12)/2</x:f>
        <x:v>0.08936836716528623</x:v>
      </x:c>
      <x:c r="F21" s="263" t="n">
        <x:v>0.08936904448882227</x:v>
      </x:c>
      <x:c r="G21" s="303" t="n">
        <x:f>(F21-E21)*100</x:f>
        <x:v>0.00006773235360357788</x:v>
      </x:c>
      <x:c r="H21" s="260" t="n">
        <x:v>0.844033398247376</x:v>
      </x:c>
      <x:c r="I21" s="267" t="n">
        <x:f>F21*H21</x:f>
        <x:v>0.07543045831802159</x:v>
      </x:c>
      <x:c r="K21" s="240" t="str">
        <x:v>Transporte y comunicaciones</x:v>
      </x:c>
      <x:c r="L21" s="270" t="n">
        <x:f>AVERAGEIF($B$6:$B$185,K21,$F$6:$F$185)</x:f>
        <x:v>0.08630724234416062</x:v>
      </x:c>
      <x:c r="M21" s="269" t="n">
        <x:f>AVERAGEIF($B$6:$B$185,K21,$I$6:$I$185)</x:f>
        <x:v>0.016957551893450863</x:v>
      </x:c>
    </x:row>
    <x:row r="22">
      <x:c r="A22" s="240" t="n">
        <x:v>2006</x:v>
      </x:c>
      <x:c r="B22" s="240" t="str">
        <x:v>Financieras</x:v>
      </x:c>
      <x:c r="C22" s="298" t="n">
        <x:v>90278</x:v>
      </x:c>
      <x:c r="D22" s="270" t="n">
        <x:f>C22/SUMIF($A$6:$A$185,A22,$C$6:$C$185)</x:f>
        <x:v>0.13524226699104758</x:v>
      </x:c>
      <x:c r="E22" s="270" t="n">
        <x:f>(D22+D13)/2</x:f>
        <x:v>0.13677669691847738</x:v>
      </x:c>
      <x:c r="F22" s="264" t="n">
        <x:v>0.13677557600003365</x:v>
      </x:c>
      <x:c r="G22" s="304" t="n">
        <x:f>(F22-E22)*100</x:f>
        <x:v>-0.00011209184437310782</x:v>
      </x:c>
      <x:c r="H22" s="261" t="n">
        <x:v>1.429880416572186</x:v>
      </x:c>
      <x:c r="I22" s="269" t="n">
        <x:f>F22*H22</x:f>
        <x:v>0.1955727175878288</x:v>
      </x:c>
      <x:c r="K22" s="258" t="str">
        <x:v>Financieras</x:v>
      </x:c>
      <x:c r="L22" s="268" t="n">
        <x:f>AVERAGEIF($B$6:$B$185,K22,$F$6:$F$185)</x:f>
        <x:v>0.14659333605246344</x:v>
      </x:c>
      <x:c r="M22" s="267" t="n">
        <x:f>AVERAGEIF($B$6:$B$185,K22,$I$6:$I$185)</x:f>
        <x:v>-0.1539197595450873</x:v>
      </x:c>
    </x:row>
    <x:row r="23">
      <x:c r="A23" s="258" t="n">
        <x:v>2006</x:v>
      </x:c>
      <x:c r="B23" s="258" t="str">
        <x:v>Servicios sociales y personales</x:v>
      </x:c>
      <x:c r="C23" s="297" t="n">
        <x:v>101498</x:v>
      </x:c>
      <x:c r="D23" s="268" t="n">
        <x:f>C23/SUMIF($A$6:$A$185,A23,$C$6:$C$185)</x:f>
        <x:v>0.15205055068851045</x:v>
      </x:c>
      <x:c r="E23" s="268" t="n">
        <x:f>(D23+D14)/2</x:f>
        <x:v>0.15344359246242734</x:v>
      </x:c>
      <x:c r="F23" s="263" t="n">
        <x:v>0.15344499221300884</x:v>
      </x:c>
      <x:c r="G23" s="303" t="n">
        <x:f>(F23-E23)*100</x:f>
        <x:v>0.0001399750581498882</x:v>
      </x:c>
      <x:c r="H23" s="260" t="n">
        <x:v>3.130162672033309</x:v>
      </x:c>
      <x:c r="I23" s="267" t="n">
        <x:f>F23*H23</x:f>
        <x:v>0.480307786835602</x:v>
      </x:c>
      <x:c r="K23" s="240" t="str">
        <x:v>Servicios sociales y personales</x:v>
      </x:c>
      <x:c r="L23" s="270" t="n">
        <x:f>AVERAGEIF($B$6:$B$185,K23,$F$6:$F$185)</x:f>
        <x:v>0.16048204917928272</x:v>
      </x:c>
      <x:c r="M23" s="269" t="n">
        <x:f>AVERAGEIF($B$6:$B$185,K23,$I$6:$I$185)</x:f>
        <x:v>0.11199169960367708</x:v>
      </x:c>
    </x:row>
    <x:row r="24">
      <x:c r="A24" s="240" t="n">
        <x:v>2007</x:v>
      </x:c>
      <x:c r="B24" s="240" t="str">
        <x:v>Agropecuario</x:v>
      </x:c>
      <x:c r="C24" s="298" t="n">
        <x:v>46679</x:v>
      </x:c>
      <x:c r="D24" s="270" t="n">
        <x:f>C24/SUMIF($A$6:$A$185,A24,$C$6:$C$185)</x:f>
        <x:v>0.0627350261939129</x:v>
      </x:c>
      <x:c r="E24" s="270" t="n">
        <x:f>(D24+D15)/2</x:f>
        <x:v>0.06354144437774167</x:v>
      </x:c>
      <x:c r="F24" s="264" t="n">
        <x:v>0.0635414915606852</x:v>
      </x:c>
      <x:c r="G24" s="304" t="n">
        <x:f>(F24-E24)*100</x:f>
        <x:v>0.000004718294352445973</x:v>
      </x:c>
      <x:c r="H24" s="261" t="n">
        <x:v>2.323206842531002</x:v>
      </x:c>
      <x:c r="I24" s="269" t="n">
        <x:f>F24*H24</x:f>
        <x:v>0.14762002797840978</x:v>
      </x:c>
    </x:row>
    <x:row r="25">
      <x:c r="A25" s="258" t="n">
        <x:v>2007</x:v>
      </x:c>
      <x:c r="B25" s="258" t="str">
        <x:v>Minería</x:v>
      </x:c>
      <x:c r="C25" s="297" t="n">
        <x:v>37328</x:v>
      </x:c>
      <x:c r="D25" s="268" t="n">
        <x:f>C25/SUMIF($A$6:$A$185,A25,$C$6:$C$185)</x:f>
        <x:v>0.050167592659790934</x:v>
      </x:c>
      <x:c r="E25" s="268" t="n">
        <x:f>(D25+D16)/2</x:f>
        <x:v>0.051993528955343385</x:v>
      </x:c>
      <x:c r="F25" s="263" t="n">
        <x:v>0.051993565962617255</x:v>
      </x:c>
      <x:c r="G25" s="303" t="n">
        <x:f>(F25-E25)*100</x:f>
        <x:v>0.0000037007273870348634</x:v>
      </x:c>
      <x:c r="H25" s="260" t="n">
        <x:v>-4.324306909079369</x:v>
      </x:c>
      <x:c r="I25" s="267" t="n">
        <x:f>F25*H25</x:f>
        <x:v>-0.2248361365198197</x:v>
      </x:c>
    </x:row>
    <x:row r="26">
      <x:c r="A26" s="240" t="n">
        <x:v>2007</x:v>
      </x:c>
      <x:c r="B26" s="240" t="str">
        <x:v>Manufactura</x:v>
      </x:c>
      <x:c r="C26" s="298" t="n">
        <x:v>199190</x:v>
      </x:c>
      <x:c r="D26" s="270" t="n">
        <x:f>C26/SUMIF($A$6:$A$185,A26,$C$6:$C$185)</x:f>
        <x:v>0.26770474662193944</x:v>
      </x:c>
      <x:c r="E26" s="270" t="n">
        <x:f>(D26+D17)/2</x:f>
        <x:v>0.2680931841833226</x:v>
      </x:c>
      <x:c r="F26" s="264" t="n">
        <x:v>0.26809338739439104</x:v>
      </x:c>
      <x:c r="G26" s="304" t="n">
        <x:f>(F26-E26)*100</x:f>
        <x:v>0.00002032110684169197</x:v>
      </x:c>
      <x:c r="H26" s="261" t="n">
        <x:v>0.007352163992550231</x:v>
      </x:c>
      <x:c r="I26" s="269" t="n">
        <x:f>F26*H26</x:f>
        <x:v>0.001971066549441862</x:v>
      </x:c>
    </x:row>
    <x:row r="27">
      <x:c r="A27" s="258" t="n">
        <x:v>2007</x:v>
      </x:c>
      <x:c r="B27" s="258" t="str">
        <x:v>Servicios públicos</x:v>
      </x:c>
      <x:c r="C27" s="297" t="n">
        <x:v>22446</x:v>
      </x:c>
      <x:c r="D27" s="268" t="n">
        <x:f>C27/SUMIF($A$6:$A$185,A27,$C$6:$C$185)</x:f>
        <x:v>0.030166678762367855</x:v>
      </x:c>
      <x:c r="E27" s="268" t="n">
        <x:f>(D27+D18)/2</x:f>
        <x:v>0.030489434706024235</x:v>
      </x:c>
      <x:c r="F27" s="263" t="n">
        <x:v>0.03048878544935916</x:v>
      </x:c>
      <x:c r="G27" s="303" t="n">
        <x:f>(F27-E27)*100</x:f>
        <x:v>-0.00006492566650764808</x:v>
      </x:c>
      <x:c r="H27" s="260" t="n">
        <x:v>0.4591468373219634</x:v>
      </x:c>
      <x:c r="I27" s="267" t="n">
        <x:f>F27*H27</x:f>
        <x:v>0.013998829412861154</x:v>
      </x:c>
    </x:row>
    <x:row r="28">
      <x:c r="A28" s="240" t="n">
        <x:v>2007</x:v>
      </x:c>
      <x:c r="B28" s="240" t="str">
        <x:v>Construcción</x:v>
      </x:c>
      <x:c r="C28" s="298" t="n">
        <x:v>61450</x:v>
      </x:c>
      <x:c r="D28" s="270" t="n">
        <x:f>C28/SUMIF($A$6:$A$185,A28,$C$6:$C$185)</x:f>
        <x:v>0.08258675977668647</x:v>
      </x:c>
      <x:c r="E28" s="270" t="n">
        <x:f>(D28+D19)/2</x:f>
        <x:v>0.08149693689269362</x:v>
      </x:c>
      <x:c r="F28" s="264" t="n">
        <x:v>0.08149758431842447</x:v>
      </x:c>
      <x:c r="G28" s="304" t="n">
        <x:f>(F28-E28)*100</x:f>
        <x:v>0.00006474257308458631</x:v>
      </x:c>
      <x:c r="H28" s="261" t="n">
        <x:v>-0.7637413976546483</x:v>
      </x:c>
      <x:c r="I28" s="269" t="n">
        <x:f>F28*H28</x:f>
        <x:v>-0.06224307895283105</x:v>
      </x:c>
    </x:row>
    <x:row r="29">
      <x:c r="A29" s="258" t="n">
        <x:v>2007</x:v>
      </x:c>
      <x:c r="B29" s="258" t="str">
        <x:v>Comercio y hotelería</x:v>
      </x:c>
      <x:c r="C29" s="297" t="n">
        <x:v>93172</x:v>
      </x:c>
      <x:c r="D29" s="268" t="n">
        <x:f>C29/SUMIF($A$6:$A$185,A29,$C$6:$C$185)</x:f>
        <x:v>0.125220074563278</x:v>
      </x:c>
      <x:c r="E29" s="268" t="n">
        <x:f>(D29+D20)/2</x:f>
        <x:v>0.12487184502603324</x:v>
      </x:c>
      <x:c r="F29" s="263" t="n">
        <x:v>0.12487261238846659</x:v>
      </x:c>
      <x:c r="G29" s="303" t="n">
        <x:f>(F29-E29)*100</x:f>
        <x:v>0.00007673624333459639</x:v>
      </x:c>
      <x:c r="H29" s="260" t="n">
        <x:v>0.1205458813605063</x:v>
      </x:c>
      <x:c r="I29" s="267" t="n">
        <x:f>F29*H29</x:f>
        <x:v>0.015052879118156582</x:v>
      </x:c>
    </x:row>
    <x:row r="30">
      <x:c r="A30" s="240" t="n">
        <x:v>2007</x:v>
      </x:c>
      <x:c r="B30" s="240" t="str">
        <x:v>Transporte y comunicaciones</x:v>
      </x:c>
      <x:c r="C30" s="298" t="n">
        <x:v>68214</x:v>
      </x:c>
      <x:c r="D30" s="270" t="n">
        <x:f>C30/SUMIF($A$6:$A$185,A30,$C$6:$C$185)</x:f>
        <x:v>0.09167735120271589</x:v>
      </x:c>
      <x:c r="E30" s="270" t="n">
        <x:f>(D30+D21)/2</x:f>
        <x:v>0.09099633190940795</x:v>
      </x:c>
      <x:c r="F30" s="264" t="n">
        <x:v>0.09099640199927216</x:v>
      </x:c>
      <x:c r="G30" s="304" t="n">
        <x:f>(F30-E30)*100</x:f>
        <x:v>0.00000700898642042036</x:v>
      </x:c>
      <x:c r="H30" s="261" t="n">
        <x:v>-1.266182576094153</x:v>
      </x:c>
      <x:c r="I30" s="269" t="n">
        <x:f>F30*H30</x:f>
        <x:v>-0.11521805869873755</x:v>
      </x:c>
    </x:row>
    <x:row r="31">
      <x:c r="A31" s="258" t="n">
        <x:v>2007</x:v>
      </x:c>
      <x:c r="B31" s="258" t="str">
        <x:v>Financieras</x:v>
      </x:c>
      <x:c r="C31" s="297" t="n">
        <x:v>102361</x:v>
      </x:c>
      <x:c r="D31" s="268" t="n">
        <x:f>C31/SUMIF($A$6:$A$185,A31,$C$6:$C$185)</x:f>
        <x:v>0.1375697854760196</x:v>
      </x:c>
      <x:c r="E31" s="268" t="n">
        <x:f>(D31+D22)/2</x:f>
        <x:v>0.1364060262335336</x:v>
      </x:c>
      <x:c r="F31" s="263" t="n">
        <x:v>0.13640613149633907</x:v>
      </x:c>
      <x:c r="G31" s="303" t="n">
        <x:f>(F31-E31)*100</x:f>
        <x:v>0.000010526280547207278</x:v>
      </x:c>
      <x:c r="H31" s="260" t="n">
        <x:v>-5.517098662999077</x:v>
      </x:c>
      <x:c r="I31" s="267" t="n">
        <x:f>F31*H31</x:f>
        <x:v>-0.7525660857033285</x:v>
      </x:c>
    </x:row>
    <x:row r="32">
      <x:c r="A32" s="240" t="n">
        <x:v>2007</x:v>
      </x:c>
      <x:c r="B32" s="240" t="str">
        <x:v>Servicios sociales y personales</x:v>
      </x:c>
      <x:c r="C32" s="298" t="n">
        <x:v>113226</x:v>
      </x:c>
      <x:c r="D32" s="270" t="n">
        <x:f>C32/SUMIF($A$6:$A$185,A32,$C$6:$C$185)</x:f>
        <x:v>0.1521719847432889</x:v>
      </x:c>
      <x:c r="E32" s="270" t="n">
        <x:f>(D32+D23)/2</x:f>
        <x:v>0.15211126771589967</x:v>
      </x:c>
      <x:c r="F32" s="264" t="n">
        <x:v>0.15211003943044515</x:v>
      </x:c>
      <x:c r="G32" s="304" t="n">
        <x:f>(F32-E32)*100</x:f>
        <x:v>-0.0001228285454513145</x:v>
      </x:c>
      <x:c r="H32" s="261" t="n">
        <x:v>-2.698907028364784</x:v>
      </x:c>
      <x:c r="I32" s="269" t="n">
        <x:f>F32*H32</x:f>
        <x:v>-0.4105308545036729</x:v>
      </x:c>
    </x:row>
    <x:row r="33">
      <x:c r="A33" s="258" t="n">
        <x:v>2008</x:v>
      </x:c>
      <x:c r="B33" s="258" t="str">
        <x:v>Agropecuario</x:v>
      </x:c>
      <x:c r="C33" s="297" t="n">
        <x:v>51206</x:v>
      </x:c>
      <x:c r="D33" s="268" t="n">
        <x:f>C33/SUMIF($A$6:$A$185,A33,$C$6:$C$185)</x:f>
        <x:v>0.060939283261868975</x:v>
      </x:c>
      <x:c r="E33" s="268" t="n">
        <x:f>(D33+D24)/2</x:f>
        <x:v>0.06183715472789093</x:v>
      </x:c>
      <x:c r="F33" s="263" t="n">
        <x:v>0.06183729920908755</x:v>
      </x:c>
      <x:c r="G33" s="303" t="n">
        <x:f>(F33-E33)*100</x:f>
        <x:v>0.000014448119661780723</x:v>
      </x:c>
      <x:c r="H33" s="260" t="n">
        <x:v>-2.892545664586325</x:v>
      </x:c>
      <x:c r="I33" s="267" t="n">
        <x:f>F33*H33</x:f>
        <x:v>-0.17886721173697356</x:v>
      </x:c>
    </x:row>
    <x:row r="34">
      <x:c r="A34" s="240" t="n">
        <x:v>2008</x:v>
      </x:c>
      <x:c r="B34" s="240" t="str">
        <x:v>Minería</x:v>
      </x:c>
      <x:c r="C34" s="298" t="n">
        <x:v>52463</x:v>
      </x:c>
      <x:c r="D34" s="270" t="n">
        <x:f>C34/SUMIF($A$6:$A$185,A34,$C$6:$C$185)</x:f>
        <x:v>0.06243521497026583</x:v>
      </x:c>
      <x:c r="E34" s="270" t="n">
        <x:f>(D34+D25)/2</x:f>
        <x:v>0.05630140381502838</x:v>
      </x:c>
      <x:c r="F34" s="264" t="n">
        <x:v>0.056301536799313025</x:v>
      </x:c>
      <x:c r="G34" s="304" t="n">
        <x:f>(F34-E34)*100</x:f>
        <x:v>0.000013298428464675327</x:v>
      </x:c>
      <x:c r="H34" s="261" t="n">
        <x:v>-2.773676452773486</x:v>
      </x:c>
      <x:c r="I34" s="269" t="n">
        <x:f>F34*H34</x:f>
        <x:v>-0.15616224687521443</x:v>
      </x:c>
    </x:row>
    <x:row r="35">
      <x:c r="A35" s="258" t="n">
        <x:v>2008</x:v>
      </x:c>
      <x:c r="B35" s="258" t="str">
        <x:v>Manufactura</x:v>
      </x:c>
      <x:c r="C35" s="297" t="n">
        <x:v>218622</x:v>
      </x:c>
      <x:c r="D35" s="268" t="n">
        <x:f>C35/SUMIF($A$6:$A$185,A35,$C$6:$C$185)</x:f>
        <x:v>0.26017786949334687</x:v>
      </x:c>
      <x:c r="E35" s="268" t="n">
        <x:f>(D35+D26)/2</x:f>
        <x:v>0.26394130805764315</x:v>
      </x:c>
      <x:c r="F35" s="263" t="n">
        <x:v>0.26394192476515754</x:v>
      </x:c>
      <x:c r="G35" s="303" t="n">
        <x:f>(F35-E35)*100</x:f>
        <x:v>0.00006167075143892475</x:v>
      </x:c>
      <x:c r="H35" s="260" t="n">
        <x:v>-1.336646828157722</x:v>
      </x:c>
      <x:c r="I35" s="267" t="n">
        <x:f>F35*H35</x:f>
        <x:v>-0.3527971365551919</x:v>
      </x:c>
    </x:row>
    <x:row r="36">
      <x:c r="A36" s="240" t="n">
        <x:v>2008</x:v>
      </x:c>
      <x:c r="B36" s="240" t="str">
        <x:v>Servicios públicos</x:v>
      </x:c>
      <x:c r="C36" s="298" t="n">
        <x:v>24959</x:v>
      </x:c>
      <x:c r="D36" s="270" t="n">
        <x:f>C36/SUMIF($A$6:$A$185,A36,$C$6:$C$185)</x:f>
        <x:v>0.02970322952257524</x:v>
      </x:c>
      <x:c r="E36" s="270" t="n">
        <x:f>(D36+D27)/2</x:f>
        <x:v>0.029934954142471548</x:v>
      </x:c>
      <x:c r="F36" s="264" t="n">
        <x:v>0.029933757100009062</x:v>
      </x:c>
      <x:c r="G36" s="304" t="n">
        <x:f>(F36-E36)*100</x:f>
        <x:v>-0.00011970424624863085</x:v>
      </x:c>
      <x:c r="H36" s="261" t="n">
        <x:v>-1.450842986662372</x:v>
      </x:c>
      <x:c r="I36" s="269" t="n">
        <x:f>F36*H36</x:f>
        <x:v>-0.043429181553003134</x:v>
      </x:c>
    </x:row>
    <x:row r="37">
      <x:c r="A37" s="258" t="n">
        <x:v>2008</x:v>
      </x:c>
      <x:c r="B37" s="258" t="str">
        <x:v>Construcción</x:v>
      </x:c>
      <x:c r="C37" s="297" t="n">
        <x:v>74831</x:v>
      </x:c>
      <x:c r="D37" s="268" t="n">
        <x:f>C37/SUMIF($A$6:$A$185,A37,$C$6:$C$185)</x:f>
        <x:v>0.08905494484570006</x:v>
      </x:c>
      <x:c r="E37" s="268" t="n">
        <x:f>(D37+D28)/2</x:f>
        <x:v>0.08582085231119327</x:v>
      </x:c>
      <x:c r="F37" s="263" t="n">
        <x:v>0.08582124832884787</x:v>
      </x:c>
      <x:c r="G37" s="303" t="n">
        <x:f>(F37-E37)*100</x:f>
        <x:v>0.000039601765459973404</x:v>
      </x:c>
      <x:c r="H37" s="260" t="n">
        <x:v>2.942703423551406</x:v>
      </x:c>
      <x:c r="I37" s="267" t="n">
        <x:f>F37*H37</x:f>
        <x:v>0.25254648127075596</x:v>
      </x:c>
    </x:row>
    <x:row r="38">
      <x:c r="A38" s="240" t="n">
        <x:v>2008</x:v>
      </x:c>
      <x:c r="B38" s="240" t="str">
        <x:v>Comercio y hotelería</x:v>
      </x:c>
      <x:c r="C38" s="298" t="n">
        <x:v>102827</x:v>
      </x:c>
      <x:c r="D38" s="270" t="n">
        <x:f>C38/SUMIF($A$6:$A$185,A38,$C$6:$C$185)</x:f>
        <x:v>0.1223724501028825</x:v>
      </x:c>
      <x:c r="E38" s="270" t="n">
        <x:f>(D38+D29)/2</x:f>
        <x:v>0.12379626233308025</x:v>
      </x:c>
      <x:c r="F38" s="264" t="n">
        <x:v>0.12379722364251451</x:v>
      </x:c>
      <x:c r="G38" s="304" t="n">
        <x:f>(F38-E38)*100</x:f>
        <x:v>0.00009613094342636463</x:v>
      </x:c>
      <x:c r="H38" s="261" t="n">
        <x:v>-0.3059487509157224</x:v>
      </x:c>
      <x:c r="I38" s="269" t="n">
        <x:f>F38*H38</x:f>
        <x:v>-0.03787560594026165</x:v>
      </x:c>
    </x:row>
    <x:row r="39">
      <x:c r="A39" s="258" t="n">
        <x:v>2008</x:v>
      </x:c>
      <x:c r="B39" s="258" t="str">
        <x:v>Transporte y comunicaciones</x:v>
      </x:c>
      <x:c r="C39" s="297" t="n">
        <x:v>75735</x:v>
      </x:c>
      <x:c r="D39" s="268" t="n">
        <x:f>C39/SUMIF($A$6:$A$185,A39,$C$6:$C$185)</x:f>
        <x:v>0.09013077799159565</x:v>
      </x:c>
      <x:c r="E39" s="268" t="n">
        <x:f>(D39+D30)/2</x:f>
        <x:v>0.09090406459715578</x:v>
      </x:c>
      <x:c r="F39" s="263" t="n">
        <x:v>0.09090427710559126</x:v>
      </x:c>
      <x:c r="G39" s="303" t="n">
        <x:f>(F39-E39)*100</x:f>
        <x:v>0.000021250843548759057</x:v>
      </x:c>
      <x:c r="H39" s="260" t="n">
        <x:v>-0.7215951766155886</x:v>
      </x:c>
      <x:c r="I39" s="267" t="n">
        <x:f>F39*H39</x:f>
        <x:v>-0.06559608789312153</x:v>
      </x:c>
    </x:row>
    <x:row r="40">
      <x:c r="A40" s="240" t="n">
        <x:v>2008</x:v>
      </x:c>
      <x:c r="B40" s="240" t="str">
        <x:v>Financieras</x:v>
      </x:c>
      <x:c r="C40" s="298" t="n">
        <x:v>116713</x:v>
      </x:c>
      <x:c r="D40" s="270" t="n">
        <x:f>C40/SUMIF($A$6:$A$185,A40,$C$6:$C$185)</x:f>
        <x:v>0.13889791366915036</x:v>
      </x:c>
      <x:c r="E40" s="270" t="n">
        <x:f>(D40+D31)/2</x:f>
        <x:v>0.138233849572585</x:v>
      </x:c>
      <x:c r="F40" s="264" t="n">
        <x:v>0.13823417310533465</x:v>
      </x:c>
      <x:c r="G40" s="304" t="n">
        <x:f>(F40-E40)*100</x:f>
        <x:v>0.00003235327496464713</x:v>
      </x:c>
      <x:c r="H40" s="261" t="n">
        <x:v>-3.130106145545206</x:v>
      </x:c>
      <x:c r="I40" s="269" t="n">
        <x:f>F40*H40</x:f>
        <x:v>-0.43268763476136785</x:v>
      </x:c>
    </x:row>
    <x:row r="41">
      <x:c r="A41" s="258" t="n">
        <x:v>2008</x:v>
      </x:c>
      <x:c r="B41" s="258" t="str">
        <x:v>Servicios sociales y personales</x:v>
      </x:c>
      <x:c r="C41" s="297" t="n">
        <x:v>122923</x:v>
      </x:c>
      <x:c r="D41" s="268" t="n">
        <x:f>C41/SUMIF($A$6:$A$185,A41,$C$6:$C$185)</x:f>
        <x:v>0.14628831614261453</x:v>
      </x:c>
      <x:c r="E41" s="268" t="n">
        <x:f>(D41+D32)/2</x:f>
        <x:v>0.14923015044295174</x:v>
      </x:c>
      <x:c r="F41" s="263" t="n">
        <x:v>0.1492285599441445</x:v>
      </x:c>
      <x:c r="G41" s="303" t="n">
        <x:f>(F41-E41)*100</x:f>
        <x:v>-0.00015904988072412696</x:v>
      </x:c>
      <x:c r="H41" s="260" t="n">
        <x:v>1.422997835512152</x:v>
      </x:c>
      <x:c r="I41" s="267" t="n">
        <x:f>F41*H41</x:f>
        <x:v>0.21235191779711304</x:v>
      </x:c>
    </x:row>
    <x:row r="42">
      <x:c r="A42" s="240" t="n">
        <x:v>2009</x:v>
      </x:c>
      <x:c r="B42" s="240" t="str">
        <x:v>Agropecuario</x:v>
      </x:c>
      <x:c r="C42" s="298" t="n">
        <x:v>52293</x:v>
      </x:c>
      <x:c r="D42" s="270" t="n">
        <x:f>C42/SUMIF($A$6:$A$185,A42,$C$6:$C$185)</x:f>
        <x:v>0.05994126574385262</x:v>
      </x:c>
      <x:c r="E42" s="270" t="n">
        <x:f>(D42+D33)/2</x:f>
        <x:v>0.0604402745028608</x:v>
      </x:c>
      <x:c r="F42" s="264" t="n">
        <x:v>0.06044037564908492</x:v>
      </x:c>
      <x:c r="G42" s="304" t="n">
        <x:f>(F42-E42)*100</x:f>
        <x:v>0.000010114622412543683</x:v>
      </x:c>
      <x:c r="H42" s="261" t="n">
        <x:v>-2.590852329266908</x:v>
      </x:c>
      <x:c r="I42" s="269" t="n">
        <x:f>F42*H42</x:f>
        <x:v>-0.15659208803219857</x:v>
      </x:c>
    </x:row>
    <x:row r="43">
      <x:c r="A43" s="258" t="n">
        <x:v>2009</x:v>
      </x:c>
      <x:c r="B43" s="258" t="str">
        <x:v>Minería</x:v>
      </x:c>
      <x:c r="C43" s="297" t="n">
        <x:v>51447</x:v>
      </x:c>
      <x:c r="D43" s="268" t="n">
        <x:f>C43/SUMIF($A$6:$A$185,A43,$C$6:$C$185)</x:f>
        <x:v>0.05897153153814059</x:v>
      </x:c>
      <x:c r="E43" s="268" t="n">
        <x:f>(D43+D34)/2</x:f>
        <x:v>0.060703373254203205</x:v>
      </x:c>
      <x:c r="F43" s="263" t="n">
        <x:v>0.060703475923722196</x:v>
      </x:c>
      <x:c r="G43" s="303" t="n">
        <x:f>(F43-E43)*100</x:f>
        <x:v>0.000010266951899068344</x:v>
      </x:c>
      <x:c r="H43" s="260" t="n">
        <x:v>7.47984825443352</x:v>
      </x:c>
      <x:c r="I43" s="267" t="n">
        <x:f>F43*H43</x:f>
        <x:v>0.4540527884261007</x:v>
      </x:c>
    </x:row>
    <x:row r="44">
      <x:c r="A44" s="240" t="n">
        <x:v>2009</x:v>
      </x:c>
      <x:c r="B44" s="240" t="str">
        <x:v>Manufactura</x:v>
      </x:c>
      <x:c r="C44" s="298" t="n">
        <x:v>213961</x:v>
      </x:c>
      <x:c r="D44" s="270" t="n">
        <x:f>C44/SUMIF($A$6:$A$185,A44,$C$6:$C$185)</x:f>
        <x:v>0.24525449218481346</x:v>
      </x:c>
      <x:c r="E44" s="270" t="n">
        <x:f>(D44+D35)/2</x:f>
        <x:v>0.25271618083908015</x:v>
      </x:c>
      <x:c r="F44" s="264" t="n">
        <x:v>0.2527166084874729</x:v>
      </x:c>
      <x:c r="G44" s="304" t="n">
        <x:f>(F44-E44)*100</x:f>
        <x:v>0.00004276483927534436</x:v>
      </x:c>
      <x:c r="H44" s="261" t="n">
        <x:v>-2.243911980422449</x:v>
      </x:c>
      <x:c r="I44" s="269" t="n">
        <x:f>F44*H44</x:f>
        <x:v>-0.5670738254367701</x:v>
      </x:c>
    </x:row>
    <x:row r="45">
      <x:c r="A45" s="258" t="n">
        <x:v>2009</x:v>
      </x:c>
      <x:c r="B45" s="258" t="str">
        <x:v>Servicios públicos</x:v>
      </x:c>
      <x:c r="C45" s="297" t="n">
        <x:v>28869</x:v>
      </x:c>
      <x:c r="D45" s="268" t="n">
        <x:f>C45/SUMIF($A$6:$A$185,A45,$C$6:$C$185)</x:f>
        <x:v>0.03309132007647833</x:v>
      </x:c>
      <x:c r="E45" s="268" t="n">
        <x:f>(D45+D36)/2</x:f>
        <x:v>0.03139727479952679</x:v>
      </x:c>
      <x:c r="F45" s="263" t="n">
        <x:v>0.031396157452274365</x:v>
      </x:c>
      <x:c r="G45" s="303" t="n">
        <x:f>(F45-E45)*100</x:f>
        <x:v>-0.00011173472524231287</x:v>
      </x:c>
      <x:c r="H45" s="260" t="n">
        <x:v>-0.1068556254839663</x:v>
      </x:c>
      <x:c r="I45" s="267" t="n">
        <x:f>F45*H45</x:f>
        <x:v>-0.003354856042355867</x:v>
      </x:c>
    </x:row>
    <x:row r="46">
      <x:c r="A46" s="240" t="n">
        <x:v>2009</x:v>
      </x:c>
      <x:c r="B46" s="240" t="str">
        <x:v>Construcción</x:v>
      </x:c>
      <x:c r="C46" s="298" t="n">
        <x:v>80467</x:v>
      </x:c>
      <x:c r="D46" s="270" t="n">
        <x:f>C46/SUMIF($A$6:$A$185,A46,$C$6:$C$185)</x:f>
        <x:v>0.09223593656150132</x:v>
      </x:c>
      <x:c r="E46" s="270" t="n">
        <x:f>(D46+D37)/2</x:f>
        <x:v>0.0906454407036007</x:v>
      </x:c>
      <x:c r="F46" s="264" t="n">
        <x:v>0.09064568732810957</x:v>
      </x:c>
      <x:c r="G46" s="304" t="n">
        <x:f>(F46-E46)*100</x:f>
        <x:v>0.00002466245088705854</x:v>
      </x:c>
      <x:c r="H46" s="261" t="n">
        <x:v>-1.273374282883108</x:v>
      </x:c>
      <x:c r="I46" s="269" t="n">
        <x:f>F46*H46</x:f>
        <x:v>-0.11542588709787796</x:v>
      </x:c>
    </x:row>
    <x:row r="47">
      <x:c r="A47" s="258" t="n">
        <x:v>2009</x:v>
      </x:c>
      <x:c r="B47" s="258" t="str">
        <x:v>Comercio y hotelería</x:v>
      </x:c>
      <x:c r="C47" s="297" t="n">
        <x:v>105703</x:v>
      </x:c>
      <x:c r="D47" s="268" t="n">
        <x:f>C47/SUMIF($A$6:$A$185,A47,$C$6:$C$185)</x:f>
        <x:v>0.1211629015914645</x:v>
      </x:c>
      <x:c r="E47" s="268" t="n">
        <x:f>(D47+D38)/2</x:f>
        <x:v>0.1217676758471735</x:v>
      </x:c>
      <x:c r="F47" s="263" t="n">
        <x:v>0.12176787927171534</x:v>
      </x:c>
      <x:c r="G47" s="303" t="n">
        <x:f>(F47-E47)*100</x:f>
        <x:v>0.000020342454183641667</x:v>
      </x:c>
      <x:c r="H47" s="260" t="n">
        <x:v>-0.8667333601195416</x:v>
      </x:c>
      <x:c r="I47" s="267" t="n">
        <x:f>F47*H47</x:f>
        <x:v>-0.10554028315580452</x:v>
      </x:c>
    </x:row>
    <x:row r="48">
      <x:c r="A48" s="240" t="n">
        <x:v>2009</x:v>
      </x:c>
      <x:c r="B48" s="240" t="str">
        <x:v>Transporte y comunicaciones</x:v>
      </x:c>
      <x:c r="C48" s="298" t="n">
        <x:v>76763</x:v>
      </x:c>
      <x:c r="D48" s="270" t="n">
        <x:f>C48/SUMIF($A$6:$A$185,A48,$C$6:$C$185)</x:f>
        <x:v>0.08799019720221365</x:v>
      </x:c>
      <x:c r="E48" s="270" t="n">
        <x:f>(D48+D39)/2</x:f>
        <x:v>0.08906048759690466</x:v>
      </x:c>
      <x:c r="F48" s="264" t="n">
        <x:v>0.0890600638041634</x:v>
      </x:c>
      <x:c r="G48" s="304" t="n">
        <x:f>(F48-E48)*100</x:f>
        <x:v>-0.00004237927412609199</x:v>
      </x:c>
      <x:c r="H48" s="261" t="n">
        <x:v>-4.614811382471736</x:v>
      </x:c>
      <x:c r="I48" s="269" t="n">
        <x:f>F48*H48</x:f>
        <x:v>-0.4109953961671123</x:v>
      </x:c>
    </x:row>
    <x:row r="49">
      <x:c r="A49" s="258" t="n">
        <x:v>2009</x:v>
      </x:c>
      <x:c r="B49" s="258" t="str">
        <x:v>Financieras</x:v>
      </x:c>
      <x:c r="C49" s="297" t="n">
        <x:v>129132</x:v>
      </x:c>
      <x:c r="D49" s="268" t="n">
        <x:f>C49/SUMIF($A$6:$A$185,A49,$C$6:$C$185)</x:f>
        <x:v>0.14801857854847067</x:v>
      </x:c>
      <x:c r="E49" s="268" t="n">
        <x:f>(D49+D40)/2</x:f>
        <x:v>0.14345824610881053</x:v>
      </x:c>
      <x:c r="F49" s="263" t="n">
        <x:v>0.14345905425875677</x:v>
      </x:c>
      <x:c r="G49" s="303" t="n">
        <x:f>(F49-E49)*100</x:f>
        <x:v>0.00008081499462408992</x:v>
      </x:c>
      <x:c r="H49" s="260" t="n">
        <x:v>1.781420136174772</x:v>
      </x:c>
      <x:c r="I49" s="267" t="n">
        <x:f>F49*H49</x:f>
        <x:v>0.2555608479731385</x:v>
      </x:c>
    </x:row>
    <x:row r="50">
      <x:c r="A50" s="240" t="n">
        <x:v>2009</x:v>
      </x:c>
      <x:c r="B50" s="240" t="str">
        <x:v>Servicios sociales y personales</x:v>
      </x:c>
      <x:c r="C50" s="298" t="n">
        <x:v>133769</x:v>
      </x:c>
      <x:c r="D50" s="270" t="n">
        <x:f>C50/SUMIF($A$6:$A$185,A50,$C$6:$C$185)</x:f>
        <x:v>0.15333377655306488</x:v>
      </x:c>
      <x:c r="E50" s="270" t="n">
        <x:f>(D50+D41)/2</x:f>
        <x:v>0.1498110463478397</x:v>
      </x:c>
      <x:c r="F50" s="264" t="n">
        <x:v>0.14981069782470072</x:v>
      </x:c>
      <x:c r="G50" s="304" t="n">
        <x:f>(F50-E50)*100</x:f>
        <x:v>-0.00003485231389876997</x:v>
      </x:c>
      <x:c r="H50" s="261" t="n">
        <x:v>0.5441217409924994</x:v>
      </x:c>
      <x:c r="I50" s="269" t="n">
        <x:f>F50*H50</x:f>
        <x:v>0.08151525771967741</x:v>
      </x:c>
    </x:row>
    <x:row r="51">
      <x:c r="A51" s="258" t="n">
        <x:v>2010</x:v>
      </x:c>
      <x:c r="B51" s="258" t="str">
        <x:v>Agropecuario</x:v>
      </x:c>
      <x:c r="C51" s="297" t="n">
        <x:v>53636</x:v>
      </x:c>
      <x:c r="D51" s="268" t="n">
        <x:f>C51/SUMIF($A$6:$A$185,A51,$C$6:$C$185)</x:f>
        <x:v>0.05660026930398848</x:v>
      </x:c>
      <x:c r="E51" s="268" t="n">
        <x:f>(D51+D42)/2</x:f>
        <x:v>0.05827076752392055</x:v>
      </x:c>
      <x:c r="F51" s="263" t="n">
        <x:v>0.05827077248456433</x:v>
      </x:c>
      <x:c r="G51" s="303" t="n">
        <x:f>(F51-E51)*100</x:f>
        <x:v>4.96064378463501e-7</x:v>
      </x:c>
      <x:c r="H51" s="260" t="n">
        <x:v>-1.477630430449354</x:v>
      </x:c>
      <x:c r="I51" s="267" t="n">
        <x:f>F51*H51</x:f>
        <x:v>-0.08610266662898317</x:v>
      </x:c>
    </x:row>
    <x:row r="52">
      <x:c r="A52" s="240" t="n">
        <x:v>2010</x:v>
      </x:c>
      <x:c r="B52" s="240" t="str">
        <x:v>Minería</x:v>
      </x:c>
      <x:c r="C52" s="298" t="n">
        <x:v>64103</x:v>
      </x:c>
      <x:c r="D52" s="270" t="n">
        <x:f>C52/SUMIF($A$6:$A$185,A52,$C$6:$C$185)</x:f>
        <x:v>0.06764574284423845</x:v>
      </x:c>
      <x:c r="E52" s="270" t="n">
        <x:f>(D52+D43)/2</x:f>
        <x:v>0.06330863719118952</x:v>
      </x:c>
      <x:c r="F52" s="264" t="n">
        <x:v>0.06330863814037384</x:v>
      </x:c>
      <x:c r="G52" s="304" t="n">
        <x:f>(F52-E52)*100</x:f>
        <x:v>9.491843144804335e-8</x:v>
      </x:c>
      <x:c r="H52" s="261" t="n">
        <x:v>-1.436831008686941</x:v>
      </x:c>
      <x:c r="I52" s="269" t="n">
        <x:f>F52*H52</x:f>
        <x:v>-0.09096381439782988</x:v>
      </x:c>
    </x:row>
    <x:row r="53">
      <x:c r="A53" s="258" t="n">
        <x:v>2010</x:v>
      </x:c>
      <x:c r="B53" s="258" t="str">
        <x:v>Manufactura</x:v>
      </x:c>
      <x:c r="C53" s="297" t="n">
        <x:v>232608</x:v>
      </x:c>
      <x:c r="D53" s="268" t="n">
        <x:f>C53/SUMIF($A$6:$A$185,A53,$C$6:$C$185)</x:f>
        <x:v>0.24546340969241096</x:v>
      </x:c>
      <x:c r="E53" s="268" t="n">
        <x:f>(D53+D44)/2</x:f>
        <x:v>0.2453589509386122</x:v>
      </x:c>
      <x:c r="F53" s="263" t="n">
        <x:v>0.2453594943068786</x:v>
      </x:c>
      <x:c r="G53" s="303" t="n">
        <x:f>(F53-E53)*100</x:f>
        <x:v>0.000054336826638134994</x:v>
      </x:c>
      <x:c r="H53" s="260" t="n">
        <x:v>-1.13392960469398</x:v>
      </x:c>
      <x:c r="I53" s="267" t="n">
        <x:f>F53*H53</x:f>
        <x:v>-0.27822039438731366</x:v>
      </x:c>
    </x:row>
    <x:row r="54">
      <x:c r="A54" s="240" t="n">
        <x:v>2010</x:v>
      </x:c>
      <x:c r="B54" s="240" t="str">
        <x:v>Servicios públicos</x:v>
      </x:c>
      <x:c r="C54" s="298" t="n">
        <x:v>30974</x:v>
      </x:c>
      <x:c r="D54" s="270" t="n">
        <x:f>C54/SUMIF($A$6:$A$185,A54,$C$6:$C$185)</x:f>
        <x:v>0.03268582186258743</x:v>
      </x:c>
      <x:c r="E54" s="270" t="n">
        <x:f>(D54+D45)/2</x:f>
        <x:v>0.032888570969532877</x:v>
      </x:c>
      <x:c r="F54" s="264" t="n">
        <x:v>0.03288800010577879</x:v>
      </x:c>
      <x:c r="G54" s="304" t="n">
        <x:f>(F54-E54)*100</x:f>
        <x:v>-0.00005708637540874362</x:v>
      </x:c>
      <x:c r="H54" s="261" t="n">
        <x:v>-1.781737834070235</x:v>
      </x:c>
      <x:c r="I54" s="269" t="n">
        <x:f>F54*H54</x:f>
        <x:v>-0.05859779407537196</x:v>
      </x:c>
    </x:row>
    <x:row r="55">
      <x:c r="A55" s="258" t="n">
        <x:v>2010</x:v>
      </x:c>
      <x:c r="B55" s="258" t="str">
        <x:v>Construcción</x:v>
      </x:c>
      <x:c r="C55" s="297" t="n">
        <x:v>81436</x:v>
      </x:c>
      <x:c r="D55" s="268" t="n">
        <x:f>C55/SUMIF($A$6:$A$185,A55,$C$6:$C$185)</x:f>
        <x:v>0.08593667557311518</x:v>
      </x:c>
      <x:c r="E55" s="268" t="n">
        <x:f>(D55+D46)/2</x:f>
        <x:v>0.08908630606730825</x:v>
      </x:c>
      <x:c r="F55" s="263" t="n">
        <x:v>0.08908629513838523</x:v>
      </x:c>
      <x:c r="G55" s="303" t="n">
        <x:f>(F55-E55)*100</x:f>
        <x:v>-0.0000010928923016573222</x:v>
      </x:c>
      <x:c r="H55" s="260" t="n">
        <x:v>-4.045150293251145</x:v>
      </x:c>
      <x:c r="I55" s="267" t="n">
        <x:f>F55*H55</x:f>
        <x:v>-0.36036745290369704</x:v>
      </x:c>
    </x:row>
    <x:row r="56">
      <x:c r="A56" s="240" t="n">
        <x:v>2010</x:v>
      </x:c>
      <x:c r="B56" s="240" t="str">
        <x:v>Comercio y hotelería</x:v>
      </x:c>
      <x:c r="C56" s="298" t="n">
        <x:v>114426</x:v>
      </x:c>
      <x:c r="D56" s="270" t="n">
        <x:f>C56/SUMIF($A$6:$A$185,A56,$C$6:$C$185)</x:f>
        <x:v>0.12074991452342058</x:v>
      </x:c>
      <x:c r="E56" s="270" t="n">
        <x:f>(D56+D47)/2</x:f>
        <x:v>0.12095640805744254</x:v>
      </x:c>
      <x:c r="F56" s="264" t="n">
        <x:v>0.12095641600084195</x:v>
      </x:c>
      <x:c r="G56" s="304" t="n">
        <x:f>(F56-E56)*100</x:f>
        <x:v>7.943399410459406e-7</x:v>
      </x:c>
      <x:c r="H56" s="261" t="n">
        <x:v>-0.6030235193831022</x:v>
      </x:c>
      <x:c r="I56" s="269" t="n">
        <x:f>F56*H56</x:f>
        <x:v>-0.07293956366879428</x:v>
      </x:c>
    </x:row>
    <x:row r="57">
      <x:c r="A57" s="258" t="n">
        <x:v>2010</x:v>
      </x:c>
      <x:c r="B57" s="258" t="str">
        <x:v>Transporte y comunicaciones</x:v>
      </x:c>
      <x:c r="C57" s="297" t="n">
        <x:v>83400</x:v>
      </x:c>
      <x:c r="D57" s="268" t="n">
        <x:f>C57/SUMIF($A$6:$A$185,A57,$C$6:$C$185)</x:f>
        <x:v>0.08800921880738011</x:v>
      </x:c>
      <x:c r="E57" s="268" t="n">
        <x:f>(D57+D48)/2</x:f>
        <x:v>0.08799970800479688</x:v>
      </x:c>
      <x:c r="F57" s="263" t="n">
        <x:v>0.08799861290631321</x:v>
      </x:c>
      <x:c r="G57" s="303" t="n">
        <x:f>(F57-E57)*100</x:f>
        <x:v>-0.00010950984836721744</x:v>
      </x:c>
      <x:c r="H57" s="260" t="n">
        <x:v>1.395843991272702</x:v>
      </x:c>
      <x:c r="I57" s="267" t="n">
        <x:f>F57*H57</x:f>
        <x:v>0.12283233506560974</x:v>
      </x:c>
    </x:row>
    <x:row r="58">
      <x:c r="A58" s="240" t="n">
        <x:v>2010</x:v>
      </x:c>
      <x:c r="B58" s="240" t="str">
        <x:v>Financieras</x:v>
      </x:c>
      <x:c r="C58" s="298" t="n">
        <x:v>141499</x:v>
      </x:c>
      <x:c r="D58" s="270" t="n">
        <x:f>C58/SUMIF($A$6:$A$185,A58,$C$6:$C$185)</x:f>
        <x:v>0.14931914211061725</x:v>
      </x:c>
      <x:c r="E58" s="270" t="n">
        <x:f>(D58+D49)/2</x:f>
        <x:v>0.14866886032954396</x:v>
      </x:c>
      <x:c r="F58" s="264" t="n">
        <x:v>0.14866997020260345</x:v>
      </x:c>
      <x:c r="G58" s="304" t="n">
        <x:f>(F58-E58)*100</x:f>
        <x:v>0.0001109873059484956</x:v>
      </x:c>
      <x:c r="H58" s="261" t="n">
        <x:v>-0.8755149188567843</x:v>
      </x:c>
      <x:c r="I58" s="269" t="n">
        <x:f>F58*H58</x:f>
        <x:v>-0.1301627768983729</x:v>
      </x:c>
    </x:row>
    <x:row r="59">
      <x:c r="A59" s="258" t="n">
        <x:v>2010</x:v>
      </x:c>
      <x:c r="B59" s="258" t="str">
        <x:v>Servicios sociales y personales</x:v>
      </x:c>
      <x:c r="C59" s="297" t="n">
        <x:v>145546</x:v>
      </x:c>
      <x:c r="D59" s="268" t="n">
        <x:f>C59/SUMIF($A$6:$A$185,A59,$C$6:$C$185)</x:f>
        <x:v>0.15358980528224156</x:v>
      </x:c>
      <x:c r="E59" s="268" t="n">
        <x:f>(D59+D50)/2</x:f>
        <x:v>0.15346179091765322</x:v>
      </x:c>
      <x:c r="F59" s="263" t="n">
        <x:v>0.1534618007142608</x:v>
      </x:c>
      <x:c r="G59" s="303" t="n">
        <x:f>(F59-E59)*100</x:f>
        <x:v>9.796607580714323e-7</x:v>
      </x:c>
      <x:c r="H59" s="260" t="n">
        <x:v>0.1625002093923058</x:v>
      </x:c>
      <x:c r="I59" s="267" t="n">
        <x:f>F59*H59</x:f>
        <x:v>0.024937574749787684</x:v>
      </x:c>
    </x:row>
    <x:row r="60">
      <x:c r="A60" s="240" t="n">
        <x:v>2011</x:v>
      </x:c>
      <x:c r="B60" s="240" t="str">
        <x:v>Agropecuario</x:v>
      </x:c>
      <x:c r="C60" s="298" t="n">
        <x:v>59259</x:v>
      </x:c>
      <x:c r="D60" s="270" t="n">
        <x:f>C60/SUMIF($A$6:$A$185,A60,$C$6:$C$185)</x:f>
        <x:v>0.054667831506582665</x:v>
      </x:c>
      <x:c r="E60" s="270" t="n">
        <x:f>(D60+D51)/2</x:f>
        <x:v>0.05563405040528557</x:v>
      </x:c>
      <x:c r="F60" s="264" t="n">
        <x:v>0.05563406024555309</x:v>
      </x:c>
      <x:c r="G60" s="304" t="n">
        <x:f>(F60-E60)*100</x:f>
        <x:v>9.840267517491341e-7</x:v>
      </x:c>
      <x:c r="H60" s="261" t="n">
        <x:v>1.048826208660588</x:v>
      </x:c>
      <x:c r="I60" s="269" t="n">
        <x:f>F60*H60</x:f>
        <x:v>0.058350460479738187</x:v>
      </x:c>
    </x:row>
    <x:row r="61">
      <x:c r="A61" s="258" t="n">
        <x:v>2011</x:v>
      </x:c>
      <x:c r="B61" s="258" t="str">
        <x:v>Minería</x:v>
      </x:c>
      <x:c r="C61" s="297" t="n">
        <x:v>93531</x:v>
      </x:c>
      <x:c r="D61" s="268" t="n">
        <x:f>C61/SUMIF($A$6:$A$185,A61,$C$6:$C$185)</x:f>
        <x:v>0.08628456350330217</x:v>
      </x:c>
      <x:c r="E61" s="268" t="n">
        <x:f>(D61+D52)/2</x:f>
        <x:v>0.07696515317377031</x:v>
      </x:c>
      <x:c r="F61" s="263" t="n">
        <x:v>0.07696517583345475</x:v>
      </x:c>
      <x:c r="G61" s="303" t="n">
        <x:f>(F61-E61)*100</x:f>
        <x:v>0.000002265968443437849</x:v>
      </x:c>
      <x:c r="H61" s="260" t="n">
        <x:v>0.6739551271593776</x:v>
      </x:c>
      <x:c r="I61" s="267" t="n">
        <x:f>F61*H61</x:f>
        <x:v>0.05187107486567984</x:v>
      </x:c>
    </x:row>
    <x:row r="62">
      <x:c r="A62" s="240" t="n">
        <x:v>2011</x:v>
      </x:c>
      <x:c r="B62" s="240" t="str">
        <x:v>Manufactura</x:v>
      </x:c>
      <x:c r="C62" s="298" t="n">
        <x:v>265951</x:v>
      </x:c>
      <x:c r="D62" s="270" t="n">
        <x:f>C62/SUMIF($A$6:$A$185,A62,$C$6:$C$185)</x:f>
        <x:v>0.24534609860117731</x:v>
      </x:c>
      <x:c r="E62" s="270" t="n">
        <x:f>(D62+D53)/2</x:f>
        <x:v>0.24540475414679414</x:v>
      </x:c>
      <x:c r="F62" s="264" t="n">
        <x:v>0.24540302244242762</x:v>
      </x:c>
      <x:c r="G62" s="304" t="n">
        <x:f>(F62-E62)*100</x:f>
        <x:v>-0.0001731704366514375</x:v>
      </x:c>
      <x:c r="H62" s="261" t="n">
        <x:v>-0.3094782491891603</x:v>
      </x:c>
      <x:c r="I62" s="269" t="n">
        <x:f>F62*H62</x:f>
        <x:v>-0.0759468977312107</x:v>
      </x:c>
    </x:row>
    <x:row r="63">
      <x:c r="A63" s="258" t="n">
        <x:v>2011</x:v>
      </x:c>
      <x:c r="B63" s="258" t="str">
        <x:v>Servicios públicos</x:v>
      </x:c>
      <x:c r="C63" s="297" t="n">
        <x:v>33000</x:v>
      </x:c>
      <x:c r="D63" s="268" t="n">
        <x:f>C63/SUMIF($A$6:$A$185,A63,$C$6:$C$185)</x:f>
        <x:v>0.03044328185958636</x:v>
      </x:c>
      <x:c r="E63" s="268" t="n">
        <x:f>(D63+D54)/2</x:f>
        <x:v>0.03156455186108689</x:v>
      </x:c>
      <x:c r="F63" s="263" t="n">
        <x:v>0.03156455695755184</x:v>
      </x:c>
      <x:c r="G63" s="303" t="n">
        <x:f>(F63-E63)*100</x:f>
        <x:v>5.096464944509549e-7</x:v>
      </x:c>
      <x:c r="H63" s="260" t="n">
        <x:v>-1.885836348836071</x:v>
      </x:c>
      <x:c r="I63" s="267" t="n">
        <x:f>F63*H63</x:f>
        <x:v>-0.05952558884545776</x:v>
      </x:c>
    </x:row>
    <x:row r="64">
      <x:c r="A64" s="240" t="n">
        <x:v>2011</x:v>
      </x:c>
      <x:c r="B64" s="240" t="str">
        <x:v>Construcción</x:v>
      </x:c>
      <x:c r="C64" s="298" t="n">
        <x:v>94989</x:v>
      </x:c>
      <x:c r="D64" s="270" t="n">
        <x:f>C64/SUMIF($A$6:$A$185,A64,$C$6:$C$185)</x:f>
        <x:v>0.08762960304728026</x:v>
      </x:c>
      <x:c r="E64" s="270" t="n">
        <x:f>(D64+D55)/2</x:f>
        <x:v>0.08678313931019772</x:v>
      </x:c>
      <x:c r="F64" s="264" t="n">
        <x:v>0.08678520498024767</x:v>
      </x:c>
      <x:c r="G64" s="304" t="n">
        <x:f>(F64-E64)*100</x:f>
        <x:v>0.00020656700499416258</x:v>
      </x:c>
      <x:c r="H64" s="261" t="n">
        <x:v>-1.797824699690425</x:v>
      </x:c>
      <x:c r="I64" s="269" t="n">
        <x:f>F64*H64</x:f>
        <x:v>-0.15602458508118575</x:v>
      </x:c>
    </x:row>
    <x:row r="65">
      <x:c r="A65" s="258" t="n">
        <x:v>2011</x:v>
      </x:c>
      <x:c r="B65" s="258" t="str">
        <x:v>Comercio y hotelería</x:v>
      </x:c>
      <x:c r="C65" s="297" t="n">
        <x:v>128734</x:v>
      </x:c>
      <x:c r="D65" s="268" t="n">
        <x:f>C65/SUMIF($A$6:$A$185,A65,$C$6:$C$185)</x:f>
        <x:v>0.1187601650579391</x:v>
      </x:c>
      <x:c r="E65" s="268" t="n">
        <x:f>(D65+D56)/2</x:f>
        <x:v>0.11975503979067983</x:v>
      </x:c>
      <x:c r="F65" s="263" t="n">
        <x:v>0.11975413936876406</x:v>
      </x:c>
      <x:c r="G65" s="303" t="n">
        <x:f>(F65-E65)*100</x:f>
        <x:v>-0.00009004219157782156</x:v>
      </x:c>
      <x:c r="H65" s="260" t="n">
        <x:v>1.572113705527552</x:v>
      </x:c>
      <x:c r="I65" s="267" t="n">
        <x:f>F65*H65</x:f>
        <x:v>0.18826712379529056</x:v>
      </x:c>
    </x:row>
    <x:row r="66">
      <x:c r="A66" s="240" t="n">
        <x:v>2011</x:v>
      </x:c>
      <x:c r="B66" s="240" t="str">
        <x:v>Transporte y comunicaciones</x:v>
      </x:c>
      <x:c r="C66" s="298" t="n">
        <x:v>93736</x:v>
      </x:c>
      <x:c r="D66" s="270" t="n">
        <x:f>C66/SUMIF($A$6:$A$185,A66,$C$6:$C$185)</x:f>
        <x:v>0.0864736808603087</x:v>
      </x:c>
      <x:c r="E66" s="270" t="n">
        <x:f>(D66+D57)/2</x:f>
        <x:v>0.08724144983384441</x:v>
      </x:c>
      <x:c r="F66" s="264" t="n">
        <x:v>0.08724093826630286</x:v>
      </x:c>
      <x:c r="G66" s="304" t="n">
        <x:f>(F66-E66)*100</x:f>
        <x:v>-0.00005115675415501286</x:v>
      </x:c>
      <x:c r="H66" s="261" t="n">
        <x:v>2.363843860762408</x:v>
      </x:c>
      <x:c r="I66" s="269" t="n">
        <x:f>F66*H66</x:f>
        <x:v>0.20622395632795226</x:v>
      </x:c>
    </x:row>
    <x:row r="67">
      <x:c r="A67" s="258" t="n">
        <x:v>2011</x:v>
      </x:c>
      <x:c r="B67" s="258" t="str">
        <x:v>Financieras</x:v>
      </x:c>
      <x:c r="C67" s="297" t="n">
        <x:v>155619</x:v>
      </x:c>
      <x:c r="D67" s="268" t="n">
        <x:f>C67/SUMIF($A$6:$A$185,A67,$C$6:$C$185)</x:f>
        <x:v>0.14356221453657483</x:v>
      </x:c>
      <x:c r="E67" s="268" t="n">
        <x:f>(D67+D58)/2</x:f>
        <x:v>0.14644067832359603</x:v>
      </x:c>
      <x:c r="F67" s="263" t="n">
        <x:v>0.14644123157359556</x:v>
      </x:c>
      <x:c r="G67" s="303" t="n">
        <x:f>(F67-E67)*100</x:f>
        <x:v>0.00005532499995353213</x:v>
      </x:c>
      <x:c r="H67" s="260" t="n">
        <x:v>-0.6831860217051045</x:v>
      </x:c>
      <x:c r="I67" s="267" t="n">
        <x:f>F67*H67</x:f>
        <x:v>-0.10004660241236069</x:v>
      </x:c>
    </x:row>
    <x:row r="68">
      <x:c r="A68" s="240" t="n">
        <x:v>2011</x:v>
      </x:c>
      <x:c r="B68" s="240" t="str">
        <x:v>Servicios sociales y personales</x:v>
      </x:c>
      <x:c r="C68" s="298" t="n">
        <x:v>159164</x:v>
      </x:c>
      <x:c r="D68" s="270" t="n">
        <x:f>C68/SUMIF($A$6:$A$185,A68,$C$6:$C$185)</x:f>
        <x:v>0.1468325610272486</x:v>
      </x:c>
      <x:c r="E68" s="270" t="n">
        <x:f>(D68+D59)/2</x:f>
        <x:v>0.15021118315474508</x:v>
      </x:c>
      <x:c r="F68" s="264" t="n">
        <x:v>0.1502116703321025</x:v>
      </x:c>
      <x:c r="G68" s="304" t="n">
        <x:f>(F68-E68)*100</x:f>
        <x:v>0.000048717735742775936</x:v>
      </x:c>
      <x:c r="H68" s="261" t="n">
        <x:v>1.07900877130184</x:v>
      </x:c>
      <x:c r="I68" s="269" t="n">
        <x:f>F68*H68</x:f>
        <x:v>0.16207970984023895</x:v>
      </x:c>
    </x:row>
    <x:row r="69">
      <x:c r="A69" s="258" t="n">
        <x:v>2012</x:v>
      </x:c>
      <x:c r="B69" s="258" t="str">
        <x:v>Agropecuario</x:v>
      </x:c>
      <x:c r="C69" s="297" t="n">
        <x:v>60002</x:v>
      </x:c>
      <x:c r="D69" s="268" t="n">
        <x:f>C69/SUMIF($A$6:$A$185,A69,$C$6:$C$185)</x:f>
        <x:v>0.05165803862687179</x:v>
      </x:c>
      <x:c r="E69" s="268" t="n">
        <x:f>(D69+D60)/2</x:f>
        <x:v>0.05316293506672723</x:v>
      </x:c>
      <x:c r="F69" s="263" t="n">
        <x:v>0.05316293396695371</x:v>
      </x:c>
      <x:c r="G69" s="303" t="n">
        <x:f>(F69-E69)*100</x:f>
        <x:v>-1.0997735222506577e-7</x:v>
      </x:c>
      <x:c r="H69" s="260" t="n">
        <x:v>1.952064286352201</x:v>
      </x:c>
      <x:c r="I69" s="267" t="n">
        <x:f>F69*H69</x:f>
        <x:v>0.10377746475459068</x:v>
      </x:c>
    </x:row>
    <x:row r="70">
      <x:c r="A70" s="240" t="n">
        <x:v>2012</x:v>
      </x:c>
      <x:c r="B70" s="240" t="str">
        <x:v>Minería</x:v>
      </x:c>
      <x:c r="C70" s="298" t="n">
        <x:v>99552</x:v>
      </x:c>
      <x:c r="D70" s="270" t="n">
        <x:f>C70/SUMIF($A$6:$A$185,A70,$C$6:$C$185)</x:f>
        <x:v>0.08570816075101396</x:v>
      </x:c>
      <x:c r="E70" s="270" t="n">
        <x:f>(D70+D61)/2</x:f>
        <x:v>0.08599636212715807</x:v>
      </x:c>
      <x:c r="F70" s="264" t="n">
        <x:v>0.0859967884730373</x:v>
      </x:c>
      <x:c r="G70" s="304" t="n">
        <x:f>(F70-E70)*100</x:f>
        <x:v>0.00004263458792258534</x:v>
      </x:c>
      <x:c r="H70" s="261" t="n">
        <x:v>-0.447550476814877</x:v>
      </x:c>
      <x:c r="I70" s="269" t="n">
        <x:f>F70*H70</x:f>
        <x:v>-0.03848790368565596</x:v>
      </x:c>
    </x:row>
    <x:row r="71">
      <x:c r="A71" s="258" t="n">
        <x:v>2012</x:v>
      </x:c>
      <x:c r="B71" s="258" t="str">
        <x:v>Manufactura</x:v>
      </x:c>
      <x:c r="C71" s="297" t="n">
        <x:v>275433</x:v>
      </x:c>
      <x:c r="D71" s="268" t="n">
        <x:f>C71/SUMIF($A$6:$A$185,A71,$C$6:$C$185)</x:f>
        <x:v>0.2371309048550911</x:v>
      </x:c>
      <x:c r="E71" s="268" t="n">
        <x:f>(D71+D62)/2</x:f>
        <x:v>0.2412385017281342</x:v>
      </x:c>
      <x:c r="F71" s="263" t="n">
        <x:v>0.2412366179228126</x:v>
      </x:c>
      <x:c r="G71" s="303" t="n">
        <x:f>(F71-E71)*100</x:f>
        <x:v>-0.00018838053216230222</x:v>
      </x:c>
      <x:c r="H71" s="260" t="n">
        <x:v>-0.8681517368122245</x:v>
      </x:c>
      <x:c r="I71" s="267" t="n">
        <x:f>F71*H71</x:f>
        <x:v>-0.20942998883239675</x:v>
      </x:c>
    </x:row>
    <x:row r="72">
      <x:c r="A72" s="240" t="n">
        <x:v>2012</x:v>
      </x:c>
      <x:c r="B72" s="240" t="str">
        <x:v>Servicios públicos</x:v>
      </x:c>
      <x:c r="C72" s="298" t="n">
        <x:v>36134</x:v>
      </x:c>
      <x:c r="D72" s="270" t="n">
        <x:f>C72/SUMIF($A$6:$A$185,A72,$C$6:$C$185)</x:f>
        <x:v>0.03110915582386229</x:v>
      </x:c>
      <x:c r="E72" s="270" t="n">
        <x:f>(D72+D63)/2</x:f>
        <x:v>0.030776218841724323</x:v>
      </x:c>
      <x:c r="F72" s="264" t="n">
        <x:v>0.030776216889945373</x:v>
      </x:c>
      <x:c r="G72" s="304" t="n">
        <x:f>(F72-E72)*100</x:f>
        <x:v>-1.951778950265437e-7</x:v>
      </x:c>
      <x:c r="H72" s="261" t="n">
        <x:v>-0.6530209466856807</x:v>
      </x:c>
      <x:c r="I72" s="269" t="n">
        <x:f>F72*H72</x:f>
        <x:v>-0.02009751428887596</x:v>
      </x:c>
    </x:row>
    <x:row r="73">
      <x:c r="A73" s="258" t="n">
        <x:v>2012</x:v>
      </x:c>
      <x:c r="B73" s="258" t="str">
        <x:v>Construcción</x:v>
      </x:c>
      <x:c r="C73" s="297" t="n">
        <x:v>105917</x:v>
      </x:c>
      <x:c r="D73" s="268" t="n">
        <x:f>C73/SUMIF($A$6:$A$185,A73,$C$6:$C$185)</x:f>
        <x:v>0.091188035019539</x:v>
      </x:c>
      <x:c r="E73" s="268" t="n">
        <x:f>(D73+D64)/2</x:f>
        <x:v>0.08940881903340964</x:v>
      </x:c>
      <x:c r="F73" s="263" t="n">
        <x:v>0.0894112011848569</x:v>
      </x:c>
      <x:c r="G73" s="303" t="n">
        <x:f>(F73-E73)*100</x:f>
        <x:v>0.00023821514472666117</x:v>
      </x:c>
      <x:c r="H73" s="260" t="n">
        <x:v>-1.587085875840158</x:v>
      </x:c>
      <x:c r="I73" s="267" t="n">
        <x:f>F73*H73</x:f>
        <x:v>-0.1419032545423892</x:v>
      </x:c>
    </x:row>
    <x:row r="74">
      <x:c r="A74" s="240" t="n">
        <x:v>2012</x:v>
      </x:c>
      <x:c r="B74" s="240" t="str">
        <x:v>Comercio y hotelería</x:v>
      </x:c>
      <x:c r="C74" s="298" t="n">
        <x:v>137509</x:v>
      </x:c>
      <x:c r="D74" s="270" t="n">
        <x:f>C74/SUMIF($A$6:$A$185,A74,$C$6:$C$185)</x:f>
        <x:v>0.11838680766545304</x:v>
      </x:c>
      <x:c r="E74" s="270" t="n">
        <x:f>(D74+D65)/2</x:f>
        <x:v>0.11857348636169607</x:v>
      </x:c>
      <x:c r="F74" s="264" t="n">
        <x:v>0.11857298839094521</x:v>
      </x:c>
      <x:c r="G74" s="304" t="n">
        <x:f>(F74-E74)*100</x:f>
        <x:v>-0.00004979707508567799</x:v>
      </x:c>
      <x:c r="H74" s="261" t="n">
        <x:v>0.5944412202015918</x:v>
      </x:c>
      <x:c r="I74" s="269" t="n">
        <x:f>F74*H74</x:f>
        <x:v>0.07048467190206266</x:v>
      </x:c>
    </x:row>
    <x:row r="75">
      <x:c r="A75" s="258" t="n">
        <x:v>2012</x:v>
      </x:c>
      <x:c r="B75" s="258" t="str">
        <x:v>Transporte y comunicaciones</x:v>
      </x:c>
      <x:c r="C75" s="297" t="n">
        <x:v>100590</x:v>
      </x:c>
      <x:c r="D75" s="268" t="n">
        <x:f>C75/SUMIF($A$6:$A$185,A75,$C$6:$C$185)</x:f>
        <x:v>0.08660181503078286</x:v>
      </x:c>
      <x:c r="E75" s="268" t="n">
        <x:f>(D75+D66)/2</x:f>
        <x:v>0.08653774794554578</x:v>
      </x:c>
      <x:c r="F75" s="263" t="n">
        <x:v>0.08653774340994258</x:v>
      </x:c>
      <x:c r="G75" s="303" t="n">
        <x:f>(F75-E75)*100</x:f>
        <x:v>-4.5356031985743783e-7</x:v>
      </x:c>
      <x:c r="H75" s="260" t="n">
        <x:v>0.001877170370519821</x:v>
      </x:c>
      <x:c r="I75" s="267" t="n">
        <x:f>F75*H75</x:f>
        <x:v>0.0001624460878607911</x:v>
      </x:c>
    </x:row>
    <x:row r="76">
      <x:c r="A76" s="240" t="n">
        <x:v>2012</x:v>
      </x:c>
      <x:c r="B76" s="240" t="str">
        <x:v>Financieras</x:v>
      </x:c>
      <x:c r="C76" s="298" t="n">
        <x:v>171533</x:v>
      </x:c>
      <x:c r="D76" s="270" t="n">
        <x:f>C76/SUMIF($A$6:$A$185,A76,$C$6:$C$185)</x:f>
        <x:v>0.14767938301695274</x:v>
      </x:c>
      <x:c r="E76" s="270" t="n">
        <x:f>(D76+D67)/2</x:f>
        <x:v>0.1456207987767638</x:v>
      </x:c>
      <x:c r="F76" s="264" t="n">
        <x:v>0.14562078901393088</x:v>
      </x:c>
      <x:c r="G76" s="304" t="n">
        <x:f>(F76-E76)*100</x:f>
        <x:v>-9.762832903215113e-7</x:v>
      </x:c>
      <x:c r="H76" s="261" t="n">
        <x:v>-0.8943863385913149</x:v>
      </x:c>
      <x:c r="I76" s="269" t="n">
        <x:f>F76*H76</x:f>
        <x:v>-0.130241244308948</x:v>
      </x:c>
    </x:row>
    <x:row r="77">
      <x:c r="A77" s="258" t="n">
        <x:v>2012</x:v>
      </x:c>
      <x:c r="B77" s="258" t="str">
        <x:v>Servicios sociales y personales</x:v>
      </x:c>
      <x:c r="C77" s="297" t="n">
        <x:v>174853</x:v>
      </x:c>
      <x:c r="D77" s="268" t="n">
        <x:f>C77/SUMIF($A$6:$A$185,A77,$C$6:$C$185)</x:f>
        <x:v>0.1505376992104332</x:v>
      </x:c>
      <x:c r="E77" s="268" t="n">
        <x:f>(D77+D68)/2</x:f>
        <x:v>0.14868513011884088</x:v>
      </x:c>
      <x:c r="F77" s="263" t="n">
        <x:v>0.14868472074757538</x:v>
      </x:c>
      <x:c r="G77" s="303" t="n">
        <x:f>(F77-E77)*100</x:f>
        <x:v>-0.000040937126549733804</x:v>
      </x:c>
      <x:c r="H77" s="260" t="n">
        <x:v>1.397321476764957</x:v>
      </x:c>
      <x:c r="I77" s="267" t="n">
        <x:f>F77*H77</x:f>
        <x:v>0.20776035356738728</x:v>
      </x:c>
    </x:row>
    <x:row r="78">
      <x:c r="A78" s="240" t="n">
        <x:v>2013</x:v>
      </x:c>
      <x:c r="B78" s="240" t="str">
        <x:v>Agropecuario</x:v>
      </x:c>
      <x:c r="C78" s="298" t="n">
        <x:v>62583</x:v>
      </x:c>
      <x:c r="D78" s="270" t="n">
        <x:f>C78/SUMIF($A$6:$A$185,A78,$C$6:$C$185)</x:f>
        <x:v>0.050134904333280994</x:v>
      </x:c>
      <x:c r="E78" s="270" t="n">
        <x:f>(D78+D69)/2</x:f>
        <x:v>0.050896471480076394</x:v>
      </x:c>
      <x:c r="F78" s="264" t="n">
        <x:v>0.050896418244455344</x:v>
      </x:c>
      <x:c r="G78" s="304" t="n">
        <x:f>(F78-E78)*100</x:f>
        <x:v>-0.00000532356210503071</x:v>
      </x:c>
      <x:c r="H78" s="261" t="n">
        <x:v>4.197681309931134</x:v>
      </x:c>
      <x:c r="I78" s="269" t="n">
        <x:f>F78*H78</x:f>
        <x:v>0.2136469436071882</x:v>
      </x:c>
    </x:row>
    <x:row r="79">
      <x:c r="A79" s="258" t="n">
        <x:v>2013</x:v>
      </x:c>
      <x:c r="B79" s="258" t="str">
        <x:v>Minería</x:v>
      </x:c>
      <x:c r="C79" s="297" t="n">
        <x:v>104411</x:v>
      </x:c>
      <x:c r="D79" s="268" t="n">
        <x:f>C79/SUMIF($A$6:$A$185,A79,$C$6:$C$185)</x:f>
        <x:v>0.08364308991806405</x:v>
      </x:c>
      <x:c r="E79" s="268" t="n">
        <x:f>(D79+D70)/2</x:f>
        <x:v>0.08467562533453901</x:v>
      </x:c>
      <x:c r="F79" s="263" t="n">
        <x:v>0.08467596725939952</x:v>
      </x:c>
      <x:c r="G79" s="303" t="n">
        <x:f>(F79-E79)*100</x:f>
        <x:v>0.000034192486050854676</x:v>
      </x:c>
      <x:c r="H79" s="260" t="n">
        <x:v>-2.015863651162977</x:v>
      </x:c>
      <x:c r="I79" s="267" t="n">
        <x:f>F79*H79</x:f>
        <x:v>-0.1706952045252898</x:v>
      </x:c>
    </x:row>
    <x:row r="80">
      <x:c r="A80" s="240" t="n">
        <x:v>2013</x:v>
      </x:c>
      <x:c r="B80" s="240" t="str">
        <x:v>Manufactura</x:v>
      </x:c>
      <x:c r="C80" s="298" t="n">
        <x:v>282065</x:v>
      </x:c>
      <x:c r="D80" s="270" t="n">
        <x:f>C80/SUMIF($A$6:$A$185,A80,$C$6:$C$185)</x:f>
        <x:v>0.22596075277258845</x:v>
      </x:c>
      <x:c r="E80" s="270" t="n">
        <x:f>(D80+D71)/2</x:f>
        <x:v>0.23154582881383978</x:v>
      </x:c>
      <x:c r="F80" s="264" t="n">
        <x:v>0.23154601688464616</x:v>
      </x:c>
      <x:c r="G80" s="304" t="n">
        <x:f>(F80-E80)*100</x:f>
        <x:v>0.0000188070806372842</x:v>
      </x:c>
      <x:c r="H80" s="261" t="n">
        <x:v>-0.3658403928904055</x:v>
      </x:c>
      <x:c r="I80" s="269" t="n">
        <x:f>F80*H80</x:f>
        <x:v>-0.08470888578928741</x:v>
      </x:c>
    </x:row>
    <x:row r="81">
      <x:c r="A81" s="258" t="n">
        <x:v>2013</x:v>
      </x:c>
      <x:c r="B81" s="258" t="str">
        <x:v>Servicios públicos</x:v>
      </x:c>
      <x:c r="C81" s="297" t="n">
        <x:v>38956</x:v>
      </x:c>
      <x:c r="D81" s="268" t="n">
        <x:f>C81/SUMIF($A$6:$A$185,A81,$C$6:$C$185)</x:f>
        <x:v>0.031207441848541847</x:v>
      </x:c>
      <x:c r="E81" s="268" t="n">
        <x:f>(D81+D72)/2</x:f>
        <x:v>0.031158298836202067</x:v>
      </x:c>
      <x:c r="F81" s="263" t="n">
        <x:v>0.031158266297074244</x:v>
      </x:c>
      <x:c r="G81" s="303" t="n">
        <x:f>(F81-E81)*100</x:f>
        <x:v>-0.000003253912782275048</x:v>
      </x:c>
      <x:c r="H81" s="260" t="n">
        <x:v>-0.2332157642015922</x:v>
      </x:c>
      <x:c r="I81" s="267" t="n">
        <x:f>F81*H81</x:f>
        <x:v>-0.007266598885668885</x:v>
      </x:c>
    </x:row>
    <x:row r="82">
      <x:c r="A82" s="240" t="n">
        <x:v>2013</x:v>
      </x:c>
      <x:c r="B82" s="240" t="str">
        <x:v>Construcción</x:v>
      </x:c>
      <x:c r="C82" s="298" t="n">
        <x:v>121421</x:v>
      </x:c>
      <x:c r="D82" s="270" t="n">
        <x:f>C82/SUMIF($A$6:$A$185,A82,$C$6:$C$185)</x:f>
        <x:v>0.09726970933082965</x:v>
      </x:c>
      <x:c r="E82" s="270" t="n">
        <x:f>(D82+D73)/2</x:f>
        <x:v>0.09422887217518433</x:v>
      </x:c>
      <x:c r="F82" s="264" t="n">
        <x:v>0.09422858696811028</x:v>
      </x:c>
      <x:c r="G82" s="304" t="n">
        <x:f>(F82-E82)*100</x:f>
        <x:v>-0.00002852070740549939</x:v>
      </x:c>
      <x:c r="H82" s="261" t="n">
        <x:v>2.74464359668742</x:v>
      </x:c>
      <x:c r="I82" s="269" t="n">
        <x:f>F82*H82</x:f>
        <x:v>0.2586238878469275</x:v>
      </x:c>
    </x:row>
    <x:row r="83">
      <x:c r="A83" s="258" t="n">
        <x:v>2013</x:v>
      </x:c>
      <x:c r="B83" s="258" t="str">
        <x:v>Comercio y hotelería</x:v>
      </x:c>
      <x:c r="C83" s="297" t="n">
        <x:v>147365</x:v>
      </x:c>
      <x:c r="D83" s="268" t="n">
        <x:f>C83/SUMIF($A$6:$A$185,A83,$C$6:$C$185)</x:f>
        <x:v>0.118053308040106</x:v>
      </x:c>
      <x:c r="E83" s="268" t="n">
        <x:f>(D83+D74)/2</x:f>
        <x:v>0.11822005785277952</x:v>
      </x:c>
      <x:c r="F83" s="263" t="n">
        <x:v>0.11822076537427861</x:v>
      </x:c>
      <x:c r="G83" s="303" t="n">
        <x:f>(F83-E83)*100</x:f>
        <x:v>0.00007075214990964751</x:v>
      </x:c>
      <x:c r="H83" s="260" t="n">
        <x:v>1.432043931337711</x:v>
      </x:c>
      <x:c r="I83" s="267" t="n">
        <x:f>F83*H83</x:f>
        <x:v>0.16929732961233507</x:v>
      </x:c>
    </x:row>
    <x:row r="84">
      <x:c r="A84" s="240" t="n">
        <x:v>2013</x:v>
      </x:c>
      <x:c r="B84" s="240" t="str">
        <x:v>Transporte y comunicaciones</x:v>
      </x:c>
      <x:c r="C84" s="298" t="n">
        <x:v>109560</x:v>
      </x:c>
      <x:c r="D84" s="270" t="n">
        <x:f>C84/SUMIF($A$6:$A$185,A84,$C$6:$C$185)</x:f>
        <x:v>0.08776792609421513</x:v>
      </x:c>
      <x:c r="E84" s="270" t="n">
        <x:f>(D84+D75)/2</x:f>
        <x:v>0.08718487056249899</x:v>
      </x:c>
      <x:c r="F84" s="264" t="n">
        <x:v>0.08718477955814063</x:v>
      </x:c>
      <x:c r="G84" s="304" t="n">
        <x:f>(F84-E84)*100</x:f>
        <x:v>-0.000009100435835462939</x:v>
      </x:c>
      <x:c r="H84" s="261" t="n">
        <x:v>3.086188211600319</x:v>
      </x:c>
      <x:c r="I84" s="269" t="n">
        <x:f>F84*H84</x:f>
        <x:v>0.26906863890330607</x:v>
      </x:c>
    </x:row>
    <x:row r="85">
      <x:c r="A85" s="258" t="n">
        <x:v>2013</x:v>
      </x:c>
      <x:c r="B85" s="258" t="str">
        <x:v>Financieras</x:v>
      </x:c>
      <x:c r="C85" s="297" t="n">
        <x:v>187951</x:v>
      </x:c>
      <x:c r="D85" s="268" t="n">
        <x:f>C85/SUMIF($A$6:$A$185,A85,$C$6:$C$185)</x:f>
        <x:v>0.15056653411221094</x:v>
      </x:c>
      <x:c r="E85" s="268" t="n">
        <x:f>(D85+D76)/2</x:f>
        <x:v>0.14912295856458185</x:v>
      </x:c>
      <x:c r="F85" s="263" t="n">
        <x:v>0.14912280295300606</x:v>
      </x:c>
      <x:c r="G85" s="303" t="n">
        <x:f>(F85-E85)*100</x:f>
        <x:v>-0.000015561157579169205</x:v>
      </x:c>
      <x:c r="H85" s="260" t="n">
        <x:v>-1.923851305058301</x:v>
      </x:c>
      <x:c r="I85" s="267" t="n">
        <x:f>F85*H85</x:f>
        <x:v>-0.28689009907509255</x:v>
      </x:c>
    </x:row>
    <x:row r="86">
      <x:c r="A86" s="240" t="n">
        <x:v>2013</x:v>
      </x:c>
      <x:c r="B86" s="240" t="str">
        <x:v>Servicios sociales y personales</x:v>
      </x:c>
      <x:c r="C86" s="298" t="n">
        <x:v>193980</x:v>
      </x:c>
      <x:c r="D86" s="270" t="n">
        <x:f>C86/SUMIF($A$6:$A$185,A86,$C$6:$C$185)</x:f>
        <x:v>0.15539633355016294</x:v>
      </x:c>
      <x:c r="E86" s="270" t="n">
        <x:f>(D86+D77)/2</x:f>
        <x:v>0.15296701638029808</x:v>
      </x:c>
      <x:c r="F86" s="264" t="n">
        <x:v>0.15296639646088897</x:v>
      </x:c>
      <x:c r="G86" s="304" t="n">
        <x:f>(F86-E86)*100</x:f>
        <x:v>-0.00006199194091116578</x:v>
      </x:c>
      <x:c r="H86" s="261" t="n">
        <x:v>-0.3560353916220773</x:v>
      </x:c>
      <x:c r="I86" s="269" t="n">
        <x:f>F86*H86</x:f>
        <x:v>-0.05446145086897054</x:v>
      </x:c>
    </x:row>
    <x:row r="87">
      <x:c r="A87" s="258" t="n">
        <x:v>2014</x:v>
      </x:c>
      <x:c r="B87" s="258" t="str">
        <x:v>Agropecuario</x:v>
      </x:c>
      <x:c r="C87" s="297" t="n">
        <x:v>67451</x:v>
      </x:c>
      <x:c r="D87" s="268" t="n">
        <x:f>C87/SUMIF($A$6:$A$185,A87,$C$6:$C$185)</x:f>
        <x:v>0.05027713508807499</x:v>
      </x:c>
      <x:c r="E87" s="268" t="n">
        <x:f>(D87+D78)/2</x:f>
        <x:v>0.05020601971067799</x:v>
      </x:c>
      <x:c r="F87" s="263" t="n">
        <x:v>0.05020599601762843</x:v>
      </x:c>
      <x:c r="G87" s="303" t="n">
        <x:f>(F87-E87)*100</x:f>
        <x:v>-0.000002369304956395535</x:v>
      </x:c>
      <x:c r="H87" s="260" t="n">
        <x:v>1.787500963451692</x:v>
      </x:c>
      <x:c r="I87" s="267" t="n">
        <x:f>F87*H87</x:f>
        <x:v>0.08974326625256263</x:v>
      </x:c>
    </x:row>
    <x:row r="88">
      <x:c r="A88" s="240" t="n">
        <x:v>2014</x:v>
      </x:c>
      <x:c r="B88" s="240" t="str">
        <x:v>Minería</x:v>
      </x:c>
      <x:c r="C88" s="298" t="n">
        <x:v>97802</x:v>
      </x:c>
      <x:c r="D88" s="270" t="n">
        <x:f>C88/SUMIF($A$6:$A$185,A88,$C$6:$C$185)</x:f>
        <x:v>0.07290039237200205</x:v>
      </x:c>
      <x:c r="E88" s="270" t="n">
        <x:f>(D88+D79)/2</x:f>
        <x:v>0.07827174114503305</x:v>
      </x:c>
      <x:c r="F88" s="264" t="n">
        <x:v>0.07827170161648267</x:v>
      </x:c>
      <x:c r="G88" s="304" t="n">
        <x:f>(F88-E88)*100</x:f>
        <x:v>-0.000003952855037736569</x:v>
      </x:c>
      <x:c r="H88" s="261" t="n">
        <x:v>-7.472051244634315</x:v>
      </x:c>
      <x:c r="I88" s="269" t="n">
        <x:f>F88*H88</x:f>
        <x:v>-0.5848501654830851</x:v>
      </x:c>
    </x:row>
    <x:row r="89">
      <x:c r="A89" s="258" t="n">
        <x:v>2014</x:v>
      </x:c>
      <x:c r="B89" s="258" t="str">
        <x:v>Manufactura</x:v>
      </x:c>
      <x:c r="C89" s="297" t="n">
        <x:v>296289</x:v>
      </x:c>
      <x:c r="D89" s="268" t="n">
        <x:f>C89/SUMIF($A$6:$A$185,A89,$C$6:$C$185)</x:f>
        <x:v>0.22085012939927728</x:v>
      </x:c>
      <x:c r="E89" s="268" t="n">
        <x:f>(D89+D80)/2</x:f>
        <x:v>0.22340544108593285</x:v>
      </x:c>
      <x:c r="F89" s="263" t="n">
        <x:v>0.2234053343000547</x:v>
      </x:c>
      <x:c r="G89" s="303" t="n">
        <x:f>(F89-E89)*100</x:f>
        <x:v>-0.000010678587816781437</x:v>
      </x:c>
      <x:c r="H89" s="260" t="n">
        <x:v>-0.8482892953277448</x:v>
      </x:c>
      <x:c r="I89" s="267" t="n">
        <x:f>F89*H89</x:f>
        <x:v>-0.18951235360585264</x:v>
      </x:c>
    </x:row>
    <x:row r="90">
      <x:c r="A90" s="240" t="n">
        <x:v>2014</x:v>
      </x:c>
      <x:c r="B90" s="240" t="str">
        <x:v>Servicios públicos</x:v>
      </x:c>
      <x:c r="C90" s="298" t="n">
        <x:v>42519</x:v>
      </x:c>
      <x:c r="D90" s="270" t="n">
        <x:f>C90/SUMIF($A$6:$A$185,A90,$C$6:$C$185)</x:f>
        <x:v>0.031693132893654066</x:v>
      </x:c>
      <x:c r="E90" s="270" t="n">
        <x:f>(D90+D81)/2</x:f>
        <x:v>0.03145028737109796</x:v>
      </x:c>
      <x:c r="F90" s="264" t="n">
        <x:v>0.03145027262289922</x:v>
      </x:c>
      <x:c r="G90" s="304" t="n">
        <x:f>(F90-E90)*100</x:f>
        <x:v>-0.0000014748198738645524</x:v>
      </x:c>
      <x:c r="H90" s="261" t="n">
        <x:v>-1.24565312425305</x:v>
      </x:c>
      <x:c r="I90" s="269" t="n">
        <x:f>F90*H90</x:f>
        <x:v>-0.03917613035132458</x:v>
      </x:c>
    </x:row>
    <x:row r="91">
      <x:c r="A91" s="258" t="n">
        <x:v>2014</x:v>
      </x:c>
      <x:c r="B91" s="258" t="str">
        <x:v>Construcción</x:v>
      </x:c>
      <x:c r="C91" s="297" t="n">
        <x:v>140123</x:v>
      </x:c>
      <x:c r="D91" s="268" t="n">
        <x:f>C91/SUMIF($A$6:$A$185,A91,$C$6:$C$185)</x:f>
        <x:v>0.10444593853236174</x:v>
      </x:c>
      <x:c r="E91" s="268" t="n">
        <x:f>(D91+D82)/2</x:f>
        <x:v>0.1008578239315957</x:v>
      </x:c>
      <x:c r="F91" s="263" t="n">
        <x:v>0.10085744945539732</x:v>
      </x:c>
      <x:c r="G91" s="303" t="n">
        <x:f>(F91-E91)*100</x:f>
        <x:v>-0.00003744761983837108</x:v>
      </x:c>
      <x:c r="H91" s="260" t="n">
        <x:v>0.0008095250582940139</x:v>
      </x:c>
      <x:c r="I91" s="267" t="n">
        <x:f>F91*H91</x:f>
        <x:v>0.00008164663264976607</x:v>
      </x:c>
    </x:row>
    <x:row r="92">
      <x:c r="A92" s="240" t="n">
        <x:v>2014</x:v>
      </x:c>
      <x:c r="B92" s="240" t="str">
        <x:v>Comercio y hotelería</x:v>
      </x:c>
      <x:c r="C92" s="298" t="n">
        <x:v>159152</x:v>
      </x:c>
      <x:c r="D92" s="270" t="n">
        <x:f>C92/SUMIF($A$6:$A$185,A92,$C$6:$C$185)</x:f>
        <x:v>0.11862991806700139</x:v>
      </x:c>
      <x:c r="E92" s="270" t="n">
        <x:f>(D92+D83)/2</x:f>
        <x:v>0.1183416130535537</x:v>
      </x:c>
      <x:c r="F92" s="264" t="n">
        <x:v>0.11834195781014367</x:v>
      </x:c>
      <x:c r="G92" s="304" t="n">
        <x:f>(F92-E92)*100</x:f>
        <x:v>0.0000344756589970574</x:v>
      </x:c>
      <x:c r="H92" s="261" t="n">
        <x:v>1.952494208810829</x:v>
      </x:c>
      <x:c r="I92" s="269" t="n">
        <x:f>F92*H92</x:f>
        <x:v>0.23106198728364097</x:v>
      </x:c>
    </x:row>
    <x:row r="93">
      <x:c r="A93" s="258" t="n">
        <x:v>2014</x:v>
      </x:c>
      <x:c r="B93" s="258" t="str">
        <x:v>Transporte y comunicaciones</x:v>
      </x:c>
      <x:c r="C93" s="297" t="n">
        <x:v>119924</x:v>
      </x:c>
      <x:c r="D93" s="268" t="n">
        <x:f>C93/SUMIF($A$6:$A$185,A93,$C$6:$C$185)</x:f>
        <x:v>0.08938985557370989</x:v>
      </x:c>
      <x:c r="E93" s="268" t="n">
        <x:f>(D93+D84)/2</x:f>
        <x:v>0.0885788908339625</x:v>
      </x:c>
      <x:c r="F93" s="263" t="n">
        <x:v>0.08857884935607388</x:v>
      </x:c>
      <x:c r="G93" s="303" t="n">
        <x:f>(F93-E93)*100</x:f>
        <x:v>-0.000004147788862374213</x:v>
      </x:c>
      <x:c r="H93" s="260" t="n">
        <x:v>-0.2565072206131145</x:v>
      </x:c>
      <x:c r="I93" s="267" t="n">
        <x:f>F93*H93</x:f>
        <x:v>-0.022721114453434277</x:v>
      </x:c>
    </x:row>
    <x:row r="94">
      <x:c r="A94" s="240" t="n">
        <x:v>2014</x:v>
      </x:c>
      <x:c r="B94" s="240" t="str">
        <x:v>Financieras</x:v>
      </x:c>
      <x:c r="C94" s="298" t="n">
        <x:v>207533</x:v>
      </x:c>
      <x:c r="D94" s="270" t="n">
        <x:f>C94/SUMIF($A$6:$A$185,A94,$C$6:$C$185)</x:f>
        <x:v>0.15469251273121923</x:v>
      </x:c>
      <x:c r="E94" s="270" t="n">
        <x:f>(D94+D85)/2</x:f>
        <x:v>0.1526295234217151</x:v>
      </x:c>
      <x:c r="F94" s="264" t="n">
        <x:v>0.15262945226608474</x:v>
      </x:c>
      <x:c r="G94" s="304" t="n">
        <x:f>(F94-E94)*100</x:f>
        <x:v>-0.0000071155630360086874</x:v>
      </x:c>
      <x:c r="H94" s="261" t="n">
        <x:v>0.5090571564940483</x:v>
      </x:c>
      <x:c r="I94" s="269" t="n">
        <x:f>F94*H94</x:f>
        <x:v>0.07769711496781717</x:v>
      </x:c>
    </x:row>
    <x:row r="95">
      <x:c r="A95" s="258" t="n">
        <x:v>2014</x:v>
      </x:c>
      <x:c r="B95" s="258" t="str">
        <x:v>Servicios sociales y personales</x:v>
      </x:c>
      <x:c r="C95" s="297" t="n">
        <x:v>210791</x:v>
      </x:c>
      <x:c r="D95" s="268" t="n">
        <x:f>C95/SUMIF($A$6:$A$185,A95,$C$6:$C$185)</x:f>
        <x:v>0.1571209853426994</x:v>
      </x:c>
      <x:c r="E95" s="268" t="n">
        <x:f>(D95+D86)/2</x:f>
        <x:v>0.15625865944643116</x:v>
      </x:c>
      <x:c r="F95" s="263" t="n">
        <x:v>0.15625898655523565</x:v>
      </x:c>
      <x:c r="G95" s="303" t="n">
        <x:f>(F95-E95)*100</x:f>
        <x:v>0.000032710880448760804</x:v>
      </x:c>
      <x:c r="H95" s="260" t="n">
        <x:v>-1.682766849357254</x:v>
      </x:c>
      <x:c r="I95" s="267" t="n">
        <x:f>F95*H95</x:f>
        <x:v>-0.2629474424893114</x:v>
      </x:c>
    </x:row>
    <x:row r="96">
      <x:c r="A96" s="240" t="n">
        <x:v>2015</x:v>
      </x:c>
      <x:c r="B96" s="240" t="str">
        <x:v>Agropecuario</x:v>
      </x:c>
      <x:c r="C96" s="298" t="n">
        <x:v>77693</x:v>
      </x:c>
      <x:c r="D96" s="270" t="n">
        <x:f>C96/SUMIF($A$6:$A$185,A96,$C$6:$C$185)</x:f>
        <x:v>0.053918200732576325</x:v>
      </x:c>
      <x:c r="E96" s="270" t="n">
        <x:f>(D96+D87)/2</x:f>
        <x:v>0.05209766791032566</x:v>
      </x:c>
      <x:c r="F96" s="264" t="n">
        <x:v>0.05209766791032553</x:v>
      </x:c>
      <x:c r="G96" s="304" t="n">
        <x:f>(F96-E96)*100</x:f>
        <x:v>-1.3183898417423734e-14</x:v>
      </x:c>
      <x:c r="H96" s="261" t="n">
        <x:v>2.762916370718889</x:v>
      </x:c>
      <x:c r="I96" s="269" t="n">
        <x:f>F96*H96</x:f>
        <x:v>0.14394149954571456</x:v>
      </x:c>
    </x:row>
    <x:row r="97">
      <x:c r="A97" s="258" t="n">
        <x:v>2015</x:v>
      </x:c>
      <x:c r="B97" s="258" t="str">
        <x:v>Minería</x:v>
      </x:c>
      <x:c r="C97" s="297" t="n">
        <x:v>83746</x:v>
      </x:c>
      <x:c r="D97" s="268" t="n">
        <x:f>C97/SUMIF($A$6:$A$185,A97,$C$6:$C$185)</x:f>
        <x:v>0.05811892498101936</x:v>
      </x:c>
      <x:c r="E97" s="268" t="n">
        <x:f>(D97+D88)/2</x:f>
        <x:v>0.06550965867651071</x:v>
      </x:c>
      <x:c r="F97" s="263" t="n">
        <x:v>0.06550965867651101</x:v>
      </x:c>
      <x:c r="G97" s="303" t="n">
        <x:f>(F97-E97)*100</x:f>
        <x:v>3.0531133177191805e-14</x:v>
      </x:c>
      <x:c r="H97" s="260" t="n">
        <x:v>-3.415592255890976</x:v>
      </x:c>
      <x:c r="I97" s="267" t="n">
        <x:f>F97*H97</x:f>
        <x:v>-0.2237542828615521</x:v>
      </x:c>
    </x:row>
    <x:row r="98">
      <x:c r="A98" s="240" t="n">
        <x:v>2015</x:v>
      </x:c>
      <x:c r="B98" s="240" t="str">
        <x:v>Manufactura</x:v>
      </x:c>
      <x:c r="C98" s="298" t="n">
        <x:v>319899</x:v>
      </x:c>
      <x:c r="D98" s="270" t="n">
        <x:f>C98/SUMIF($A$6:$A$185,A98,$C$6:$C$185)</x:f>
        <x:v>0.22200685384977328</x:v>
      </x:c>
      <x:c r="E98" s="270" t="n">
        <x:f>(D98+D89)/2</x:f>
        <x:v>0.22142849162452527</x:v>
      </x:c>
      <x:c r="F98" s="264" t="n">
        <x:v>0.2214284916245248</x:v>
      </x:c>
      <x:c r="G98" s="304" t="n">
        <x:f>(F98-E98)*100</x:f>
        <x:v>-4.718447854656915e-14</x:v>
      </x:c>
      <x:c r="H98" s="261" t="n">
        <x:v>-1.015543048457428</x:v>
      </x:c>
      <x:c r="I98" s="269" t="n">
        <x:f>F98*H98</x:f>
        <x:v>-0.22487016539969995</x:v>
      </x:c>
    </x:row>
    <x:row r="99">
      <x:c r="A99" s="258" t="n">
        <x:v>2015</x:v>
      </x:c>
      <x:c r="B99" s="258" t="str">
        <x:v>Servicios públicos</x:v>
      </x:c>
      <x:c r="C99" s="297" t="n">
        <x:v>49119</x:v>
      </x:c>
      <x:c r="D99" s="268" t="n">
        <x:f>C99/SUMIF($A$6:$A$185,A99,$C$6:$C$185)</x:f>
        <x:v>0.03408811735656258</x:v>
      </x:c>
      <x:c r="E99" s="268" t="n">
        <x:f>(D99+D90)/2</x:f>
        <x:v>0.03289062512510832</x:v>
      </x:c>
      <x:c r="F99" s="263" t="n">
        <x:v>0.032890625125108076</x:v>
      </x:c>
      <x:c r="G99" s="303" t="n">
        <x:f>(F99-E99)*100</x:f>
        <x:v>-2.42861286636753e-14</x:v>
      </x:c>
      <x:c r="H99" s="260" t="n">
        <x:v>-1.543882404429683</x:v>
      </x:c>
      <x:c r="I99" s="267" t="n">
        <x:f>F99*H99</x:f>
        <x:v>-0.0507792574013472</x:v>
      </x:c>
    </x:row>
    <x:row r="100">
      <x:c r="A100" s="240" t="n">
        <x:v>2015</x:v>
      </x:c>
      <x:c r="B100" s="240" t="str">
        <x:v>Construcción</x:v>
      </x:c>
      <x:c r="C100" s="298" t="n">
        <x:v>152005</x:v>
      </x:c>
      <x:c r="D100" s="270" t="n">
        <x:f>C100/SUMIF($A$6:$A$185,A100,$C$6:$C$185)</x:f>
        <x:v>0.10549001972320884</x:v>
      </x:c>
      <x:c r="E100" s="270" t="n">
        <x:f>(D100+D91)/2</x:f>
        <x:v>0.1049679791277853</x:v>
      </x:c>
      <x:c r="F100" s="264" t="n">
        <x:v>0.10496797912778562</x:v>
      </x:c>
      <x:c r="G100" s="304" t="n">
        <x:f>(F100-E100)*100</x:f>
        <x:v>3.191891195797325e-14</x:v>
      </x:c>
      <x:c r="H100" s="261" t="n">
        <x:v>-0.6957646025933855</x:v>
      </x:c>
      <x:c r="I100" s="269" t="n">
        <x:f>F100*H100</x:f>
        <x:v>-0.07303300428287454</x:v>
      </x:c>
    </x:row>
    <x:row r="101">
      <x:c r="A101" s="258" t="n">
        <x:v>2015</x:v>
      </x:c>
      <x:c r="B101" s="258" t="str">
        <x:v>Comercio y hotelería</x:v>
      </x:c>
      <x:c r="C101" s="297" t="n">
        <x:v>176448</x:v>
      </x:c>
      <x:c r="D101" s="268" t="n">
        <x:f>C101/SUMIF($A$6:$A$185,A101,$C$6:$C$185)</x:f>
        <x:v>0.1224532285130144</x:v>
      </x:c>
      <x:c r="E101" s="268" t="n">
        <x:f>(D101+D92)/2</x:f>
        <x:v>0.12054157329000789</x:v>
      </x:c>
      <x:c r="F101" s="263" t="n">
        <x:v>0.12054157329000838</x:v>
      </x:c>
      <x:c r="G101" s="303" t="n">
        <x:f>(F101-E101)*100</x:f>
        <x:v>4.85722573273506e-14</x:v>
      </x:c>
      <x:c r="H101" s="260" t="n">
        <x:v>3.511944102071161</x:v>
      </x:c>
      <x:c r="I101" s="267" t="n">
        <x:f>F101*H101</x:f>
        <x:v>0.42333526737022353</x:v>
      </x:c>
    </x:row>
    <x:row r="102">
      <x:c r="A102" s="240" t="n">
        <x:v>2015</x:v>
      </x:c>
      <x:c r="B102" s="240" t="str">
        <x:v>Transporte y comunicaciones</x:v>
      </x:c>
      <x:c r="C102" s="298" t="n">
        <x:v>129920</x:v>
      </x:c>
      <x:c r="D102" s="270" t="n">
        <x:f>C102/SUMIF($A$6:$A$185,A102,$C$6:$C$185)</x:f>
        <x:v>0.0901632404357705</x:v>
      </x:c>
      <x:c r="E102" s="270" t="n">
        <x:f>(D102+D93)/2</x:f>
        <x:v>0.08977654800474019</x:v>
      </x:c>
      <x:c r="F102" s="264" t="n">
        <x:v>0.08977654800474003</x:v>
      </x:c>
      <x:c r="G102" s="304" t="n">
        <x:f>(F102-E102)*100</x:f>
        <x:v>-1.6653345369377348e-14</x:v>
      </x:c>
      <x:c r="H102" s="261" t="n">
        <x:v>-0.8220538651203575</x:v>
      </x:c>
      <x:c r="I102" s="269" t="n">
        <x:f>F102*H102</x:f>
        <x:v>-0.07380115828445985</x:v>
      </x:c>
    </x:row>
    <x:row r="103">
      <x:c r="A103" s="258" t="n">
        <x:v>2015</x:v>
      </x:c>
      <x:c r="B103" s="258" t="str">
        <x:v>Financieras</x:v>
      </x:c>
      <x:c r="C103" s="297" t="n">
        <x:v>220431</x:v>
      </x:c>
      <x:c r="D103" s="268" t="n">
        <x:f>C103/SUMIF($A$6:$A$185,A103,$C$6:$C$185)</x:f>
        <x:v>0.15297701087205454</x:v>
      </x:c>
      <x:c r="E103" s="268" t="n">
        <x:f>(D103+D94)/2</x:f>
        <x:v>0.15383476180163688</x:v>
      </x:c>
      <x:c r="F103" s="263" t="n">
        <x:v>0.15383476180163666</x:v>
      </x:c>
      <x:c r="G103" s="303" t="n">
        <x:f>(F103-E103)*100</x:f>
        <x:v>-2.220446049250313e-14</x:v>
      </x:c>
      <x:c r="H103" s="260" t="n">
        <x:v>1.61209709700093</x:v>
      </x:c>
      <x:c r="I103" s="267" t="n">
        <x:f>F103*H103</x:f>
        <x:v>0.24799657291824803</x:v>
      </x:c>
    </x:row>
    <x:row r="104">
      <x:c r="A104" s="240" t="n">
        <x:v>2015</x:v>
      </x:c>
      <x:c r="B104" s="240" t="str">
        <x:v>Servicios sociales y personales</x:v>
      </x:c>
      <x:c r="C104" s="298" t="n">
        <x:v>231681</x:v>
      </x:c>
      <x:c r="D104" s="270" t="n">
        <x:f>C104/SUMIF($A$6:$A$185,A104,$C$6:$C$185)</x:f>
        <x:v>0.1607844035360202</x:v>
      </x:c>
      <x:c r="E104" s="270" t="n">
        <x:f>(D104+D95)/2</x:f>
        <x:v>0.15895269443935978</x:v>
      </x:c>
      <x:c r="F104" s="264" t="n">
        <x:v>0.15895269443935986</x:v>
      </x:c>
      <x:c r="G104" s="304" t="n">
        <x:f>(F104-E104)*100</x:f>
        <x:v>8.326672684688674e-15</x:v>
      </x:c>
      <x:c r="H104" s="261" t="n">
        <x:v>1.366675099229038</x:v>
      </x:c>
      <x:c r="I104" s="269" t="n">
        <x:f>F104*H104</x:f>
        <x:v>0.2172366894456351</x:v>
      </x:c>
    </x:row>
    <x:row r="105">
      <x:c r="A105" s="258" t="n">
        <x:v>2016</x:v>
      </x:c>
      <x:c r="B105" s="258" t="str">
        <x:v>Agropecuario</x:v>
      </x:c>
      <x:c r="C105" s="297" t="n">
        <x:v>89988</x:v>
      </x:c>
      <x:c r="D105" s="268" t="n">
        <x:f>C105/SUMIF($A$6:$A$185,A105,$C$6:$C$185)</x:f>
        <x:v>0.05829359663095816</x:v>
      </x:c>
      <x:c r="E105" s="268" t="n">
        <x:f>(D105+D96)/2</x:f>
        <x:v>0.05610589868176724</x:v>
      </x:c>
      <x:c r="F105" s="263" t="n">
        <x:v>0.05610589868176452</x:v>
      </x:c>
      <x:c r="G105" s="303" t="n">
        <x:f>(F105-E105)*100</x:f>
        <x:v>-2.7200464103316335e-13</x:v>
      </x:c>
      <x:c r="H105" s="260" t="n">
        <x:v>1.258488630478841</x:v>
      </x:c>
      <x:c r="I105" s="267" t="n">
        <x:f>F105*H105</x:f>
        <x:v>0.07060863559379844</x:v>
      </x:c>
    </x:row>
    <x:row r="106">
      <x:c r="A106" s="240" t="n">
        <x:v>2016</x:v>
      </x:c>
      <x:c r="B106" s="240" t="str">
        <x:v>Minería</x:v>
      </x:c>
      <x:c r="C106" s="298" t="n">
        <x:v>77051</x:v>
      </x:c>
      <x:c r="D106" s="270" t="n">
        <x:f>C106/SUMIF($A$6:$A$185,A106,$C$6:$C$185)</x:f>
        <x:v>0.04991309856883092</x:v>
      </x:c>
      <x:c r="E106" s="270" t="n">
        <x:f>(D106+D97)/2</x:f>
        <x:v>0.05401601177492514</x:v>
      </x:c>
      <x:c r="F106" s="264" t="n">
        <x:v>0.05401601177492865</x:v>
      </x:c>
      <x:c r="G106" s="304" t="n">
        <x:f>(F106-E106)*100</x:f>
        <x:v>3.5110803153770576e-13</x:v>
      </x:c>
      <x:c r="H106" s="261" t="n">
        <x:v>-1.884536099711061</x:v>
      </x:c>
      <x:c r="I106" s="269" t="n">
        <x:f>F106*H106</x:f>
        <x:v>-0.10179512415227078</x:v>
      </x:c>
    </x:row>
    <x:row r="107">
      <x:c r="A107" s="258" t="n">
        <x:v>2016</x:v>
      </x:c>
      <x:c r="B107" s="258" t="str">
        <x:v>Manufactura</x:v>
      </x:c>
      <x:c r="C107" s="297" t="n">
        <x:v>343183</x:v>
      </x:c>
      <x:c r="D107" s="268" t="n">
        <x:f>C107/SUMIF($A$6:$A$185,A107,$C$6:$C$185)</x:f>
        <x:v>0.22231154567944741</x:v>
      </x:c>
      <x:c r="E107" s="268" t="n">
        <x:f>(D107+D98)/2</x:f>
        <x:v>0.22215919976461035</x:v>
      </x:c>
      <x:c r="F107" s="263" t="n">
        <x:v>0.22215919976461246</x:v>
      </x:c>
      <x:c r="G107" s="303" t="n">
        <x:f>(F107-E107)*100</x:f>
        <x:v>2.1094237467877974e-13</x:v>
      </x:c>
      <x:c r="H107" s="260" t="n">
        <x:v>0.4785829203743972</x:v>
      </x:c>
      <x:c r="I107" s="267" t="n">
        <x:f>F107*H107</x:f>
        <x:v>0.10632159861138732</x:v>
      </x:c>
    </x:row>
    <x:row r="108">
      <x:c r="A108" s="240" t="n">
        <x:v>2016</x:v>
      </x:c>
      <x:c r="B108" s="240" t="str">
        <x:v>Servicios públicos</x:v>
      </x:c>
      <x:c r="C108" s="298" t="n">
        <x:v>53640</x:v>
      </x:c>
      <x:c r="D108" s="270" t="n">
        <x:f>C108/SUMIF($A$6:$A$185,A108,$C$6:$C$185)</x:f>
        <x:v>0.034747616607598744</x:v>
      </x:c>
      <x:c r="E108" s="270" t="n">
        <x:f>(D108+D99)/2</x:f>
        <x:v>0.03441786698208066</x:v>
      </x:c>
      <x:c r="F108" s="264" t="n">
        <x:v>0.03441786698207416</x:v>
      </x:c>
      <x:c r="G108" s="304" t="n">
        <x:f>(F108-E108)*100</x:f>
        <x:v>-6.494804694057166e-13</x:v>
      </x:c>
      <x:c r="H108" s="261" t="n">
        <x:v>-1.405680943475681</x:v>
      </x:c>
      <x:c r="I108" s="269" t="n">
        <x:f>F108*H108</x:f>
        <x:v>-0.048380539731782496</x:v>
      </x:c>
    </x:row>
    <x:row r="109">
      <x:c r="A109" s="258" t="n">
        <x:v>2016</x:v>
      </x:c>
      <x:c r="B109" s="258" t="str">
        <x:v>Construcción</x:v>
      </x:c>
      <x:c r="C109" s="297" t="n">
        <x:v>164325</x:v>
      </x:c>
      <x:c r="D109" s="268" t="n">
        <x:f>C109/SUMIF($A$6:$A$185,A109,$C$6:$C$185)</x:f>
        <x:v>0.10644858499335688</x:v>
      </x:c>
      <x:c r="E109" s="268" t="n">
        <x:f>(D109+D100)/2</x:f>
        <x:v>0.10596930235828286</x:v>
      </x:c>
      <x:c r="F109" s="263" t="n">
        <x:v>0.1059693023582875</x:v>
      </x:c>
      <x:c r="G109" s="303" t="n">
        <x:f>(F109-E109)*100</x:f>
        <x:v>4.635181127810029e-13</x:v>
      </x:c>
      <x:c r="H109" s="260" t="n">
        <x:v>-0.03753195565899592</x:v>
      </x:c>
      <x:c r="I109" s="267" t="n">
        <x:f>F109*H109</x:f>
        <x:v>-0.003977235157325978</x:v>
      </x:c>
    </x:row>
    <x:row r="110">
      <x:c r="A110" s="240" t="n">
        <x:v>2016</x:v>
      </x:c>
      <x:c r="B110" s="240" t="str">
        <x:v>Comercio y hotelería</x:v>
      </x:c>
      <x:c r="C110" s="298" t="n">
        <x:v>198046</x:v>
      </x:c>
      <x:c r="D110" s="270" t="n">
        <x:f>C110/SUMIF($A$6:$A$185,A110,$C$6:$C$185)</x:f>
        <x:v>0.12829281280142618</x:v>
      </x:c>
      <x:c r="E110" s="270" t="n">
        <x:f>(D110+D101)/2</x:f>
        <x:v>0.12537302065722028</x:v>
      </x:c>
      <x:c r="F110" s="264" t="n">
        <x:v>0.1253730206572185</x:v>
      </x:c>
      <x:c r="G110" s="304" t="n">
        <x:f>(F110-E110)*100</x:f>
        <x:v>-1.7763568394002505e-13</x:v>
      </x:c>
      <x:c r="H110" s="261" t="n">
        <x:v>0.05446474834625281</x:v>
      </x:c>
      <x:c r="I110" s="269" t="n">
        <x:f>F110*H110</x:f>
        <x:v>0.006828410019504961</x:v>
      </x:c>
    </x:row>
    <x:row r="111">
      <x:c r="A111" s="258" t="n">
        <x:v>2016</x:v>
      </x:c>
      <x:c r="B111" s="258" t="str">
        <x:v>Transporte y comunicaciones</x:v>
      </x:c>
      <x:c r="C111" s="297" t="n">
        <x:v>136530</x:v>
      </x:c>
      <x:c r="D111" s="268" t="n">
        <x:f>C111/SUMIF($A$6:$A$185,A111,$C$6:$C$185)</x:f>
        <x:v>0.08844317851296525</x:v>
      </x:c>
      <x:c r="E111" s="268" t="n">
        <x:f>(D111+D102)/2</x:f>
        <x:v>0.08930320947436787</x:v>
      </x:c>
      <x:c r="F111" s="263" t="n">
        <x:v>0.08930320947436576</x:v>
      </x:c>
      <x:c r="G111" s="303" t="n">
        <x:f>(F111-E111)*100</x:f>
        <x:v>-2.1094237467877974e-13</x:v>
      </x:c>
      <x:c r="H111" s="260" t="n">
        <x:v>-0.2149464472042305</x:v>
      </x:c>
      <x:c r="I111" s="267" t="n">
        <x:f>F111*H111</x:f>
        <x:v>-0.019195407600450097</x:v>
      </x:c>
    </x:row>
    <x:row r="112">
      <x:c r="A112" s="240" t="n">
        <x:v>2016</x:v>
      </x:c>
      <x:c r="B112" s="240" t="str">
        <x:v>Financieras</x:v>
      </x:c>
      <x:c r="C112" s="298" t="n">
        <x:v>232790</x:v>
      </x:c>
      <x:c r="D112" s="270" t="n">
        <x:f>C112/SUMIF($A$6:$A$185,A112,$C$6:$C$185)</x:f>
        <x:v>0.15079973285016612</x:v>
      </x:c>
      <x:c r="E112" s="270" t="n">
        <x:f>(D112+D103)/2</x:f>
        <x:v>0.15188837186111032</x:v>
      </x:c>
      <x:c r="F112" s="264" t="n">
        <x:v>0.15188837186111023</x:v>
      </x:c>
      <x:c r="G112" s="304" t="n">
        <x:f>(F112-E112)*100</x:f>
        <x:v>-8.326672684688674e-15</x:v>
      </x:c>
      <x:c r="H112" s="261" t="n">
        <x:v>-3.575045430069326</x:v>
      </x:c>
      <x:c r="I112" s="269" t="n">
        <x:f>F112*H112</x:f>
        <x:v>-0.5430078297027325</x:v>
      </x:c>
    </x:row>
    <x:row r="113">
      <x:c r="A113" s="258" t="n">
        <x:v>2016</x:v>
      </x:c>
      <x:c r="B113" s="258" t="str">
        <x:v>Servicios sociales y personales</x:v>
      </x:c>
      <x:c r="C113" s="297" t="n">
        <x:v>248150</x:v>
      </x:c>
      <x:c r="D113" s="268" t="n">
        <x:f>C113/SUMIF($A$6:$A$185,A113,$C$6:$C$185)</x:f>
        <x:v>0.16074983335525034</x:v>
      </x:c>
      <x:c r="E113" s="268" t="n">
        <x:f>(D113+D104)/2</x:f>
        <x:v>0.16076711844563527</x:v>
      </x:c>
      <x:c r="F113" s="263" t="n">
        <x:v>0.1607671184456384</x:v>
      </x:c>
      <x:c r="G113" s="303" t="n">
        <x:f>(F113-E113)*100</x:f>
        <x:v>3.136380044566067e-13</x:v>
      </x:c>
      <x:c r="H113" s="260" t="n">
        <x:v>-0.2901764827156512</x:v>
      </x:c>
      <x:c r="I113" s="267" t="n">
        <x:f>F113*H113</x:f>
        <x:v>-0.04665083696688584</x:v>
      </x:c>
    </x:row>
    <x:row r="114">
      <x:c r="A114" s="240" t="n">
        <x:v>2017</x:v>
      </x:c>
      <x:c r="B114" s="240" t="str">
        <x:v>Agropecuario</x:v>
      </x:c>
      <x:c r="C114" s="298" t="n">
        <x:v>93223</x:v>
      </x:c>
      <x:c r="D114" s="270" t="n">
        <x:f>C114/SUMIF($A$6:$A$185,A114,$C$6:$C$185)</x:f>
        <x:v>0.05760465765816981</x:v>
      </x:c>
      <x:c r="E114" s="270" t="n">
        <x:f>(D114+D105)/2</x:f>
        <x:v>0.05794912714456398</x:v>
      </x:c>
      <x:c r="F114" s="264" t="n">
        <x:v>0.05794912714456391</x:v>
      </x:c>
      <x:c r="G114" s="304" t="n">
        <x:f>(F114-E114)*100</x:f>
        <x:v>-6.938893903907228e-15</x:v>
      </x:c>
      <x:c r="H114" s="261" t="n">
        <x:v>1.409865751323098</x:v>
      </x:c>
      <x:c r="I114" s="269" t="n">
        <x:f>F114*H114</x:f>
        <x:v>0.08170048968018834</x:v>
      </x:c>
    </x:row>
    <x:row r="115">
      <x:c r="A115" s="258" t="n">
        <x:v>2017</x:v>
      </x:c>
      <x:c r="B115" s="258" t="str">
        <x:v>Minería</x:v>
      </x:c>
      <x:c r="C115" s="297" t="n">
        <x:v>87006</x:v>
      </x:c>
      <x:c r="D115" s="268" t="n">
        <x:f>C115/SUMIF($A$6:$A$185,A115,$C$6:$C$185)</x:f>
        <x:v>0.05376302891139228</x:v>
      </x:c>
      <x:c r="E115" s="268" t="n">
        <x:f>(D115+D106)/2</x:f>
        <x:v>0.0518380637401116</x:v>
      </x:c>
      <x:c r="F115" s="263" t="n">
        <x:v>0.05183806374011167</x:v>
      </x:c>
      <x:c r="G115" s="303" t="n">
        <x:f>(F115-E115)*100</x:f>
        <x:v>6.938893903907228e-15</x:v>
      </x:c>
      <x:c r="H115" s="260" t="n">
        <x:v>-3.905633942038841</x:v>
      </x:c>
      <x:c r="I115" s="267" t="n">
        <x:f>F115*H115</x:f>
        <x:v>-0.20246050123295306</x:v>
      </x:c>
    </x:row>
    <x:row r="116">
      <x:c r="A116" s="240" t="n">
        <x:v>2017</x:v>
      </x:c>
      <x:c r="B116" s="240" t="str">
        <x:v>Manufactura</x:v>
      </x:c>
      <x:c r="C116" s="298" t="n">
        <x:v>348365</x:v>
      </x:c>
      <x:c r="D116" s="270" t="n">
        <x:f>C116/SUMIF($A$6:$A$185,A116,$C$6:$C$185)</x:f>
        <x:v>0.21526282746841793</x:v>
      </x:c>
      <x:c r="E116" s="270" t="n">
        <x:f>(D116+D107)/2</x:f>
        <x:v>0.21878718657393267</x:v>
      </x:c>
      <x:c r="F116" s="264" t="n">
        <x:v>0.2187871865739327</x:v>
      </x:c>
      <x:c r="G116" s="304" t="n">
        <x:f>(F116-E116)*100</x:f>
        <x:v>2.7755575615628914e-15</x:v>
      </x:c>
      <x:c r="H116" s="261" t="n">
        <x:v>-0.7413111430048136</x:v>
      </x:c>
      <x:c r="I116" s="269" t="n">
        <x:f>F116*H116</x:f>
        <x:v>-0.16218937935392946</x:v>
      </x:c>
    </x:row>
    <x:row r="117">
      <x:c r="A117" s="258" t="n">
        <x:v>2017</x:v>
      </x:c>
      <x:c r="B117" s="258" t="str">
        <x:v>Servicios públicos</x:v>
      </x:c>
      <x:c r="C117" s="297" t="n">
        <x:v>53953</x:v>
      </x:c>
      <x:c r="D117" s="268" t="n">
        <x:f>C117/SUMIF($A$6:$A$185,A117,$C$6:$C$185)</x:f>
        <x:v>0.03333881225267622</x:v>
      </x:c>
      <x:c r="E117" s="268" t="n">
        <x:f>(D117+D108)/2</x:f>
        <x:v>0.03404321443013748</x:v>
      </x:c>
      <x:c r="F117" s="263" t="n">
        <x:v>0.034043214430137386</x:v>
      </x:c>
      <x:c r="G117" s="303" t="n">
        <x:f>(F117-E117)*100</x:f>
        <x:v>-9.71445146547012e-15</x:v>
      </x:c>
      <x:c r="H117" s="260" t="n">
        <x:v>-0.5646658872885291</x:v>
      </x:c>
      <x:c r="I117" s="267" t="n">
        <x:f>F117*H117</x:f>
        <x:v>-0.019223041882347185</x:v>
      </x:c>
    </x:row>
    <x:row r="118">
      <x:c r="A118" s="240" t="n">
        <x:v>2017</x:v>
      </x:c>
      <x:c r="B118" s="240" t="str">
        <x:v>Construcción</x:v>
      </x:c>
      <x:c r="C118" s="298" t="n">
        <x:v>162647</x:v>
      </x:c>
      <x:c r="D118" s="270" t="n">
        <x:f>C118/SUMIF($A$6:$A$185,A118,$C$6:$C$185)</x:f>
        <x:v>0.10050336026654737</x:v>
      </x:c>
      <x:c r="E118" s="270" t="n">
        <x:f>(D118+D109)/2</x:f>
        <x:v>0.10347597262995212</x:v>
      </x:c>
      <x:c r="F118" s="264" t="n">
        <x:v>0.10347597262995206</x:v>
      </x:c>
      <x:c r="G118" s="304" t="n">
        <x:f>(F118-E118)*100</x:f>
        <x:v>-5.551115123125783e-15</x:v>
      </x:c>
      <x:c r="H118" s="261" t="n">
        <x:v>-1.311985617985779</x:v>
      </x:c>
      <x:c r="I118" s="269" t="n">
        <x:f>F118*H118</x:f>
        <x:v>-0.1357589878975872</x:v>
      </x:c>
    </x:row>
    <x:row r="119">
      <x:c r="A119" s="258" t="n">
        <x:v>2017</x:v>
      </x:c>
      <x:c r="B119" s="258" t="str">
        <x:v>Comercio y hotelería</x:v>
      </x:c>
      <x:c r="C119" s="297" t="n">
        <x:v>211517</x:v>
      </x:c>
      <x:c r="D119" s="268" t="n">
        <x:f>C119/SUMIF($A$6:$A$185,A119,$C$6:$C$185)</x:f>
        <x:v>0.1307012687199844</x:v>
      </x:c>
      <x:c r="E119" s="268" t="n">
        <x:f>(D119+D110)/2</x:f>
        <x:v>0.12949704076070528</x:v>
      </x:c>
      <x:c r="F119" s="263" t="n">
        <x:v>0.12949704076070556</x:v>
      </x:c>
      <x:c r="G119" s="303" t="n">
        <x:f>(F119-E119)*100</x:f>
        <x:v>2.7755575615628914e-14</x:v>
      </x:c>
      <x:c r="H119" s="260" t="n">
        <x:v>0.9996880238608787</x:v>
      </x:c>
      <x:c r="I119" s="267" t="n">
        <x:f>F119*H119</x:f>
        <x:v>0.1294566407739014</x:v>
      </x:c>
    </x:row>
    <x:row r="120">
      <x:c r="A120" s="240" t="n">
        <x:v>2017</x:v>
      </x:c>
      <x:c r="B120" s="240" t="str">
        <x:v>Transporte y comunicaciones</x:v>
      </x:c>
      <x:c r="C120" s="298" t="n">
        <x:v>142012</x:v>
      </x:c>
      <x:c r="D120" s="270" t="n">
        <x:f>C120/SUMIF($A$6:$A$185,A120,$C$6:$C$185)</x:f>
        <x:v>0.0877525143296398</x:v>
      </x:c>
      <x:c r="E120" s="270" t="n">
        <x:f>(D120+D111)/2</x:f>
        <x:v>0.08809784642130253</x:v>
      </x:c>
      <x:c r="F120" s="264" t="n">
        <x:v>0.08809784642130244</x:v>
      </x:c>
      <x:c r="G120" s="304" t="n">
        <x:f>(F120-E120)*100</x:f>
        <x:v>-8.326672684688674e-15</x:v>
      </x:c>
      <x:c r="H120" s="261" t="n">
        <x:v>0.477430042363971</x:v>
      </x:c>
      <x:c r="I120" s="269" t="n">
        <x:f>F120*H120</x:f>
        <x:v>0.04206055854909704</x:v>
      </x:c>
    </x:row>
    <x:row r="121">
      <x:c r="A121" s="258" t="n">
        <x:v>2017</x:v>
      </x:c>
      <x:c r="B121" s="258" t="str">
        <x:v>Financieras</x:v>
      </x:c>
      <x:c r="C121" s="297" t="n">
        <x:v>249967</x:v>
      </x:c>
      <x:c r="D121" s="268" t="n">
        <x:f>C121/SUMIF($A$6:$A$185,A121,$C$6:$C$185)</x:f>
        <x:v>0.15446041707346614</x:v>
      </x:c>
      <x:c r="E121" s="268" t="n">
        <x:f>(D121+D112)/2</x:f>
        <x:v>0.15263007496181613</x:v>
      </x:c>
      <x:c r="F121" s="263" t="n">
        <x:v>0.1526300749618162</x:v>
      </x:c>
      <x:c r="G121" s="303" t="n">
        <x:f>(F121-E121)*100</x:f>
        <x:v>5.551115123125783e-15</x:v>
      </x:c>
      <x:c r="H121" s="260" t="n">
        <x:v>-0.9114071366321785</x:v>
      </x:c>
      <x:c r="I121" s="267" t="n">
        <x:f>F121*H121</x:f>
        <x:v>-0.13910813958490365</x:v>
      </x:c>
    </x:row>
    <x:row r="122">
      <x:c r="A122" s="240" t="n">
        <x:v>2017</x:v>
      </x:c>
      <x:c r="B122" s="240" t="str">
        <x:v>Servicios sociales y personales</x:v>
      </x:c>
      <x:c r="C122" s="298" t="n">
        <x:v>269634</x:v>
      </x:c>
      <x:c r="D122" s="270" t="n">
        <x:f>C122/SUMIF($A$6:$A$185,A122,$C$6:$C$185)</x:f>
        <x:v>0.16661311331970607</x:v>
      </x:c>
      <x:c r="E122" s="270" t="n">
        <x:f>(D122+D113)/2</x:f>
        <x:v>0.1636814733374782</x:v>
      </x:c>
      <x:c r="F122" s="264" t="n">
        <x:v>0.16368147333747815</x:v>
      </x:c>
      <x:c r="G122" s="304" t="n">
        <x:f>(F122-E122)*100</x:f>
        <x:v>-5.551115123125783e-15</x:v>
      </x:c>
      <x:c r="H122" s="261" t="n">
        <x:v>3.203928254913168</x:v>
      </x:c>
      <x:c r="I122" s="269" t="n">
        <x:f>F122*H122</x:f>
        <x:v>0.5244236972317625</x:v>
      </x:c>
    </x:row>
    <x:row r="123">
      <x:c r="A123" s="258" t="n">
        <x:v>2018</x:v>
      </x:c>
      <x:c r="B123" s="258" t="str">
        <x:v>Agropecuario</x:v>
      </x:c>
      <x:c r="C123" s="297" t="n">
        <x:v>97759</x:v>
      </x:c>
      <x:c r="D123" s="268" t="n">
        <x:f>C123/SUMIF($A$6:$A$185,A123,$C$6:$C$185)</x:f>
        <x:v>0.056413689231026694</x:v>
      </x:c>
      <x:c r="E123" s="268" t="n">
        <x:f>(D123+D114)/2</x:f>
        <x:v>0.05700917344459825</x:v>
      </x:c>
      <x:c r="F123" s="263" t="n">
        <x:v>0.05700917344459816</x:v>
      </x:c>
      <x:c r="G123" s="303" t="n">
        <x:f>(F123-E123)*100</x:f>
        <x:v>-9.020562075079397e-15</x:v>
      </x:c>
      <x:c r="H123" s="260" t="n">
        <x:v>0.9653513786288801</x:v>
      </x:c>
      <x:c r="I123" s="267" t="n">
        <x:f>F123*H123</x:f>
        <x:v>0.05503388417923578</x:v>
      </x:c>
    </x:row>
    <x:row r="124">
      <x:c r="A124" s="240" t="n">
        <x:v>2018</x:v>
      </x:c>
      <x:c r="B124" s="240" t="str">
        <x:v>Minería</x:v>
      </x:c>
      <x:c r="C124" s="298" t="n">
        <x:v>101914</x:v>
      </x:c>
      <x:c r="D124" s="270" t="n">
        <x:f>C124/SUMIF($A$6:$A$185,A124,$C$6:$C$185)</x:f>
        <x:v>0.05881141096257996</x:v>
      </x:c>
      <x:c r="E124" s="270" t="n">
        <x:f>(D124+D115)/2</x:f>
        <x:v>0.05628721993698612</x:v>
      </x:c>
      <x:c r="F124" s="264" t="n">
        <x:v>0.05628721993698596</x:v>
      </x:c>
      <x:c r="G124" s="304" t="n">
        <x:f>(F124-E124)*100</x:f>
        <x:v>-1.5959455978986625e-14</x:v>
      </x:c>
      <x:c r="H124" s="261" t="n">
        <x:v>-4.47748708434442</x:v>
      </x:c>
      <x:c r="I124" s="269" t="n">
        <x:f>F124*H124</x:f>
        <x:v>-0.2520253002815084</x:v>
      </x:c>
    </x:row>
    <x:row r="125">
      <x:c r="A125" s="258" t="n">
        <x:v>2018</x:v>
      </x:c>
      <x:c r="B125" s="258" t="str">
        <x:v>Manufactura</x:v>
      </x:c>
      <x:c r="C125" s="297" t="n">
        <x:v>367337</x:v>
      </x:c>
      <x:c r="D125" s="268" t="n">
        <x:f>C125/SUMIF($A$6:$A$185,A125,$C$6:$C$185)</x:f>
        <x:v>0.2119787984846168</x:v>
      </x:c>
      <x:c r="E125" s="268" t="n">
        <x:f>(D125+D116)/2</x:f>
        <x:v>0.21362081297651736</x:v>
      </x:c>
      <x:c r="F125" s="263" t="n">
        <x:v>0.21362081297651725</x:v>
      </x:c>
      <x:c r="G125" s="303" t="n">
        <x:f>(F125-E125)*100</x:f>
        <x:v>-1.1102230246251565e-14</x:v>
      </x:c>
      <x:c r="H125" s="260" t="n">
        <x:v>-0.1244861122196323</x:v>
      </x:c>
      <x:c r="I125" s="267" t="n">
        <x:f>F125*H125</x:f>
        <x:v>-0.02659282449664381</x:v>
      </x:c>
    </x:row>
    <x:row r="126">
      <x:c r="A126" s="240" t="n">
        <x:v>2018</x:v>
      </x:c>
      <x:c r="B126" s="240" t="str">
        <x:v>Servicios públicos</x:v>
      </x:c>
      <x:c r="C126" s="298" t="n">
        <x:v>59372</x:v>
      </x:c>
      <x:c r="D126" s="270" t="n">
        <x:f>C126/SUMIF($A$6:$A$185,A126,$C$6:$C$185)</x:f>
        <x:v>0.034261741190320244</x:v>
      </x:c>
      <x:c r="E126" s="270" t="n">
        <x:f>(D126+D117)/2</x:f>
        <x:v>0.03380027672149823</x:v>
      </x:c>
      <x:c r="F126" s="264" t="n">
        <x:v>0.03380027672149828</x:v>
      </x:c>
      <x:c r="G126" s="304" t="n">
        <x:f>(F126-E126)*100</x:f>
        <x:v>4.85722573273506e-15</x:v>
      </x:c>
      <x:c r="H126" s="261" t="n">
        <x:v>-0.1995400957006175</x:v>
      </x:c>
      <x:c r="I126" s="269" t="n">
        <x:f>F126*H126</x:f>
        <x:v>-0.0067445104517151215</x:v>
      </x:c>
    </x:row>
    <x:row r="127">
      <x:c r="A127" s="258" t="n">
        <x:v>2018</x:v>
      </x:c>
      <x:c r="B127" s="258" t="str">
        <x:v>Construcción</x:v>
      </x:c>
      <x:c r="C127" s="297" t="n">
        <x:v>167458</x:v>
      </x:c>
      <x:c r="D127" s="268" t="n">
        <x:f>C127/SUMIF($A$6:$A$185,A127,$C$6:$C$185)</x:f>
        <x:v>0.09663482207519786</x:v>
      </x:c>
      <x:c r="E127" s="268" t="n">
        <x:f>(D127+D118)/2</x:f>
        <x:v>0.09856909117087262</x:v>
      </x:c>
      <x:c r="F127" s="263" t="n">
        <x:v>0.09856909117087247</x:v>
      </x:c>
      <x:c r="G127" s="303" t="n">
        <x:f>(F127-E127)*100</x:f>
        <x:v>-1.5265566588595902e-14</x:v>
      </x:c>
      <x:c r="H127" s="260" t="n">
        <x:v>0.2993275297417135</x:v>
      </x:c>
      <x:c r="I127" s="267" t="n">
        <x:f>F127*H127</x:f>
        <x:v>0.029504442569062997</x:v>
      </x:c>
    </x:row>
    <x:row r="128">
      <x:c r="A128" s="240" t="n">
        <x:v>2018</x:v>
      </x:c>
      <x:c r="B128" s="240" t="str">
        <x:v>Comercio y hotelería</x:v>
      </x:c>
      <x:c r="C128" s="298" t="n">
        <x:v>225923</x:v>
      </x:c>
      <x:c r="D128" s="270" t="n">
        <x:f>C128/SUMIF($A$6:$A$185,A128,$C$6:$C$185)</x:f>
        <x:v>0.13037316167453886</x:v>
      </x:c>
      <x:c r="E128" s="270" t="n">
        <x:f>(D128+D119)/2</x:f>
        <x:v>0.13053721519726164</x:v>
      </x:c>
      <x:c r="F128" s="264" t="n">
        <x:v>0.1305372151972618</x:v>
      </x:c>
      <x:c r="G128" s="304" t="n">
        <x:f>(F128-E128)*100</x:f>
        <x:v>1.6653345369377348e-14</x:v>
      </x:c>
      <x:c r="H128" s="261" t="n">
        <x:v>1.242190422264866</x:v>
      </x:c>
      <x:c r="I128" s="269" t="n">
        <x:f>F128*H128</x:f>
        <x:v>0.16215207846716634</x:v>
      </x:c>
    </x:row>
    <x:row r="129">
      <x:c r="A129" s="258" t="n">
        <x:v>2018</x:v>
      </x:c>
      <x:c r="B129" s="258" t="str">
        <x:v>Transporte y comunicaciones</x:v>
      </x:c>
      <x:c r="C129" s="297" t="n">
        <x:v>151276</x:v>
      </x:c>
      <x:c r="D129" s="268" t="n">
        <x:f>C129/SUMIF($A$6:$A$185,A129,$C$6:$C$185)</x:f>
        <x:v>0.08729669137483806</x:v>
      </x:c>
      <x:c r="E129" s="268" t="n">
        <x:f>(D129+D120)/2</x:f>
        <x:v>0.08752460285223893</x:v>
      </x:c>
      <x:c r="F129" s="263" t="n">
        <x:v>0.08752460285223887</x:v>
      </x:c>
      <x:c r="G129" s="303" t="n">
        <x:f>(F129-E129)*100</x:f>
        <x:v>-5.551115123125783e-15</x:v>
      </x:c>
      <x:c r="H129" s="260" t="n">
        <x:v>1.394856333770233</x:v>
      </x:c>
      <x:c r="I129" s="267" t="n">
        <x:f>F129*H129</x:f>
        <x:v>0.1220842466491696</x:v>
      </x:c>
    </x:row>
    <x:row r="130">
      <x:c r="A130" s="240" t="n">
        <x:v>2018</x:v>
      </x:c>
      <x:c r="B130" s="240" t="str">
        <x:v>Financieras</x:v>
      </x:c>
      <x:c r="C130" s="298" t="n">
        <x:v>269220</x:v>
      </x:c>
      <x:c r="D130" s="270" t="n">
        <x:f>C130/SUMIF($A$6:$A$185,A130,$C$6:$C$185)</x:f>
        <x:v>0.15535851854844063</x:v>
      </x:c>
      <x:c r="E130" s="270" t="n">
        <x:f>(D130+D121)/2</x:f>
        <x:v>0.15490946781095338</x:v>
      </x:c>
      <x:c r="F130" s="264" t="n">
        <x:v>0.15490946781095347</x:v>
      </x:c>
      <x:c r="G130" s="304" t="n">
        <x:f>(F130-E130)*100</x:f>
        <x:v>8.326672684688674e-15</x:v>
      </x:c>
      <x:c r="H130" s="261" t="n">
        <x:v>-0.06093497941928661</x:v>
      </x:c>
      <x:c r="I130" s="269" t="n">
        <x:f>F130*H130</x:f>
        <x:v>-0.009439405232913091</x:v>
      </x:c>
    </x:row>
    <x:row r="131">
      <x:c r="A131" s="258" t="n">
        <x:v>2018</x:v>
      </x:c>
      <x:c r="B131" s="258" t="str">
        <x:v>Servicios sociales y personales</x:v>
      </x:c>
      <x:c r="C131" s="297" t="n">
        <x:v>292636</x:v>
      </x:c>
      <x:c r="D131" s="268" t="n">
        <x:f>C131/SUMIF($A$6:$A$185,A131,$C$6:$C$185)</x:f>
        <x:v>0.16887116645844094</x:v>
      </x:c>
      <x:c r="E131" s="268" t="n">
        <x:f>(D131+D122)/2</x:f>
        <x:v>0.1677421398890735</x:v>
      </x:c>
      <x:c r="F131" s="263" t="n">
        <x:v>0.16774213988907344</x:v>
      </x:c>
      <x:c r="G131" s="303" t="n">
        <x:f>(F131-E131)*100</x:f>
        <x:v>-5.551115123125783e-15</x:v>
      </x:c>
      <x:c r="H131" s="260" t="n">
        <x:v>0.484025651499655</x:v>
      </x:c>
      <x:c r="I131" s="267" t="n">
        <x:f>F131*H131</x:f>
        <x:v>0.08119149854375504</x:v>
      </x:c>
    </x:row>
    <x:row r="132">
      <x:c r="A132" s="240" t="n">
        <x:v>2019</x:v>
      </x:c>
      <x:c r="B132" s="240" t="str">
        <x:v>Agropecuario</x:v>
      </x:c>
      <x:c r="C132" s="298" t="n">
        <x:v>107470</x:v>
      </x:c>
      <x:c r="D132" s="270" t="n">
        <x:f>C132/SUMIF($A$6:$A$185,A132,$C$6:$C$185)</x:f>
        <x:v>0.057859048316370065</x:v>
      </x:c>
      <x:c r="E132" s="270" t="n">
        <x:f>(D132+D123)/2</x:f>
        <x:v>0.057136368773698376</x:v>
      </x:c>
      <x:c r="F132" s="264" t="n">
        <x:v>0.05713636877369871</x:v>
      </x:c>
      <x:c r="G132" s="304" t="n">
        <x:f>(F132-E132)*100</x:f>
        <x:v>3.3306690738754696e-14</x:v>
      </x:c>
      <x:c r="H132" s="261" t="n">
        <x:v>2.965325833617302</x:v>
      </x:c>
      <x:c r="I132" s="269" t="n">
        <x:f>F132*H132</x:f>
        <x:v>0.1694279503637337</x:v>
      </x:c>
    </x:row>
    <x:row r="133">
      <x:c r="A133" s="258" t="n">
        <x:v>2019</x:v>
      </x:c>
      <x:c r="B133" s="258" t="str">
        <x:v>Minería</x:v>
      </x:c>
      <x:c r="C133" s="297" t="n">
        <x:v>104633</x:v>
      </x:c>
      <x:c r="D133" s="268" t="n">
        <x:f>C133/SUMIF($A$6:$A$185,A133,$C$6:$C$185)</x:f>
        <x:v>0.056331681422599325</x:v>
      </x:c>
      <x:c r="E133" s="268" t="n">
        <x:f>(D133+D124)/2</x:f>
        <x:v>0.05757154619258964</x:v>
      </x:c>
      <x:c r="F133" s="263" t="n">
        <x:v>0.05757154619259014</x:v>
      </x:c>
      <x:c r="G133" s="303" t="n">
        <x:f>(F133-E133)*100</x:f>
        <x:v>4.9960036108132044e-14</x:v>
      </x:c>
      <x:c r="H133" s="260" t="n">
        <x:v>-1.079371321192514</x:v>
      </x:c>
      <x:c r="I133" s="267" t="n">
        <x:f>F133*H133</x:f>
        <x:v>-0.062141075876991865</x:v>
      </x:c>
    </x:row>
    <x:row r="134">
      <x:c r="A134" s="240" t="n">
        <x:v>2019</x:v>
      </x:c>
      <x:c r="B134" s="240" t="str">
        <x:v>Manufactura</x:v>
      </x:c>
      <x:c r="C134" s="298" t="n">
        <x:v>391341</x:v>
      </x:c>
      <x:c r="D134" s="270" t="n">
        <x:f>C134/SUMIF($A$6:$A$185,A134,$C$6:$C$185)</x:f>
        <x:v>0.2106877996387511</x:v>
      </x:c>
      <x:c r="E134" s="270" t="n">
        <x:f>(D134+D125)/2</x:f>
        <x:v>0.21133329906168394</x:v>
      </x:c>
      <x:c r="F134" s="264" t="n">
        <x:v>0.21133410662260665</x:v>
      </x:c>
      <x:c r="G134" s="304" t="n">
        <x:f>(F134-E134)*100</x:f>
        <x:v>0.00008075609227164993</x:v>
      </x:c>
      <x:c r="H134" s="261" t="n">
        <x:v>-0.01082758408335449</x:v>
      </x:c>
      <x:c r="I134" s="269" t="n">
        <x:f>F134*H134</x:f>
        <x:v>-0.0022882378091368762</x:v>
      </x:c>
    </x:row>
    <x:row r="135">
      <x:c r="A135" s="258" t="n">
        <x:v>2019</x:v>
      </x:c>
      <x:c r="B135" s="258" t="str">
        <x:v>Servicios públicos</x:v>
      </x:c>
      <x:c r="C135" s="297" t="n">
        <x:v>67773</x:v>
      </x:c>
      <x:c r="D135" s="268" t="n">
        <x:f>C135/SUMIF($A$6:$A$185,A135,$C$6:$C$185)</x:f>
        <x:v>0.036487217656512035</x:v>
      </x:c>
      <x:c r="E135" s="268" t="n">
        <x:f>(D135+D126)/2</x:f>
        <x:v>0.035374479423416136</x:v>
      </x:c>
      <x:c r="F135" s="263" t="n">
        <x:v>0.03537447942341612</x:v>
      </x:c>
      <x:c r="G135" s="303" t="n">
        <x:f>(F135-E135)*100</x:f>
        <x:v>-1.3877787807814457e-15</x:v>
      </x:c>
      <x:c r="H135" s="260" t="n">
        <x:v>0.02033753977293618</x:v>
      </x:c>
      <x:c r="I135" s="267" t="n">
        <x:f>F135*H135</x:f>
        <x:v>0.0007194298822206379</x:v>
      </x:c>
    </x:row>
    <x:row r="136">
      <x:c r="A136" s="240" t="n">
        <x:v>2019</x:v>
      </x:c>
      <x:c r="B136" s="240" t="str">
        <x:v>Construcción</x:v>
      </x:c>
      <x:c r="C136" s="298" t="n">
        <x:v>170211</x:v>
      </x:c>
      <x:c r="D136" s="270" t="n">
        <x:f>C136/SUMIF($A$6:$A$185,A136,$C$6:$C$185)</x:f>
        <x:v>0.0916371682607022</x:v>
      </x:c>
      <x:c r="E136" s="270" t="n">
        <x:f>(D136+D127)/2</x:f>
        <x:v>0.09413599516795003</x:v>
      </x:c>
      <x:c r="F136" s="264" t="n">
        <x:v>0.09413599516795043</x:v>
      </x:c>
      <x:c r="G136" s="304" t="n">
        <x:f>(F136-E136)*100</x:f>
        <x:v>4.0245584642661925e-14</x:v>
      </x:c>
      <x:c r="H136" s="261" t="n">
        <x:v>-2.155008539843339</x:v>
      </x:c>
      <x:c r="I136" s="269" t="n">
        <x:f>F136*H136</x:f>
        <x:v>-0.20286387349358448</x:v>
      </x:c>
    </x:row>
    <x:row r="137">
      <x:c r="A137" s="258" t="n">
        <x:v>2019</x:v>
      </x:c>
      <x:c r="B137" s="258" t="str">
        <x:v>Comercio y hotelería</x:v>
      </x:c>
      <x:c r="C137" s="297" t="n">
        <x:v>244466</x:v>
      </x:c>
      <x:c r="D137" s="268" t="n">
        <x:f>C137/SUMIF($A$6:$A$185,A137,$C$6:$C$185)</x:f>
        <x:v>0.13161412585567808</x:v>
      </x:c>
      <x:c r="E137" s="268" t="n">
        <x:f>(D137+D128)/2</x:f>
        <x:v>0.13099364376510847</x:v>
      </x:c>
      <x:c r="F137" s="263" t="n">
        <x:v>0.13099364376510925</x:v>
      </x:c>
      <x:c r="G137" s="303" t="n">
        <x:f>(F137-E137)*100</x:f>
        <x:v>7.771561172376096e-14</x:v>
      </x:c>
      <x:c r="H137" s="260" t="n">
        <x:v>0.06304138586469277</x:v>
      </x:c>
      <x:c r="I137" s="267" t="n">
        <x:f>F137*H137</x:f>
        <x:v>0.008258020842418359</x:v>
      </x:c>
    </x:row>
    <x:row r="138">
      <x:c r="A138" s="240" t="n">
        <x:v>2019</x:v>
      </x:c>
      <x:c r="B138" s="240" t="str">
        <x:v>Transporte y comunicaciones</x:v>
      </x:c>
      <x:c r="C138" s="298" t="n">
        <x:v>160121</x:v>
      </x:c>
      <x:c r="D138" s="270" t="n">
        <x:f>C138/SUMIF($A$6:$A$185,A138,$C$6:$C$185)</x:f>
        <x:v>0.0862049751136642</x:v>
      </x:c>
      <x:c r="E138" s="270" t="n">
        <x:f>(D138+D129)/2</x:f>
        <x:v>0.08675083324425113</x:v>
      </x:c>
      <x:c r="F138" s="264" t="n">
        <x:v>0.08675083324425048</x:v>
      </x:c>
      <x:c r="G138" s="304" t="n">
        <x:f>(F138-E138)*100</x:f>
        <x:v>-6.522560269672795e-14</x:v>
      </x:c>
      <x:c r="H138" s="261" t="n">
        <x:v>0.06996641145780869</x:v>
      </x:c>
      <x:c r="I138" s="269" t="n">
        <x:f>F138*H138</x:f>
        <x:v>0.0060696444930749775</x:v>
      </x:c>
    </x:row>
    <x:row r="139">
      <x:c r="A139" s="258" t="n">
        <x:v>2019</x:v>
      </x:c>
      <x:c r="B139" s="258" t="str">
        <x:v>Financieras</x:v>
      </x:c>
      <x:c r="C139" s="297" t="n">
        <x:v>287917</x:v>
      </x:c>
      <x:c r="D139" s="268" t="n">
        <x:f>C139/SUMIF($A$6:$A$185,A139,$C$6:$C$185)</x:f>
        <x:v>0.15500701232068784</x:v>
      </x:c>
      <x:c r="E139" s="268" t="n">
        <x:f>(D139+D130)/2</x:f>
        <x:v>0.15518276543456422</x:v>
      </x:c>
      <x:c r="F139" s="263" t="n">
        <x:v>0.15518249624758945</x:v>
      </x:c>
      <x:c r="G139" s="303" t="n">
        <x:f>(F139-E139)*100</x:f>
        <x:v>-0.000026918697476618902</x:v>
      </x:c>
      <x:c r="H139" s="260" t="n">
        <x:v>0.1063362877133422</x:v>
      </x:c>
      <x:c r="I139" s="267" t="n">
        <x:f>F139*H139</x:f>
        <x:v>0.016501530569058318</x:v>
      </x:c>
    </x:row>
    <x:row r="140">
      <x:c r="A140" s="240" t="n">
        <x:v>2019</x:v>
      </x:c>
      <x:c r="B140" s="240" t="str">
        <x:v>Servicios sociales y personales</x:v>
      </x:c>
      <x:c r="C140" s="298" t="n">
        <x:v>323513</x:v>
      </x:c>
      <x:c r="D140" s="270" t="n">
        <x:f>C140/SUMIF($A$6:$A$185,A140,$C$6:$C$185)</x:f>
        <x:v>0.17417097141503518</x:v>
      </x:c>
      <x:c r="E140" s="270" t="n">
        <x:f>(D140+D131)/2</x:f>
        <x:v>0.17152106893673807</x:v>
      </x:c>
      <x:c r="F140" s="264" t="n">
        <x:v>0.17152053056278882</x:v>
      </x:c>
      <x:c r="G140" s="304" t="n">
        <x:f>(F140-E140)*100</x:f>
        <x:v>-0.00005383739492548223</x:v>
      </x:c>
      <x:c r="H140" s="261" t="n">
        <x:v>1.22946186677786</x:v>
      </x:c>
      <x:c r="I140" s="269" t="n">
        <x:f>F140*H140</x:f>
        <x:v>0.21087795169645535</x:v>
      </x:c>
    </x:row>
    <x:row r="141">
      <x:c r="A141" s="258" t="n">
        <x:v>2020</x:v>
      </x:c>
      <x:c r="B141" s="258" t="str">
        <x:v>Agropecuario</x:v>
      </x:c>
      <x:c r="C141" s="297" t="n">
        <x:v>118643</x:v>
      </x:c>
      <x:c r="D141" s="268" t="n">
        <x:f>C141/SUMIF($A$6:$A$185,A141,$C$6:$C$185)</x:f>
        <x:v>0.06773124892602672</x:v>
      </x:c>
      <x:c r="E141" s="268" t="n">
        <x:f>(D141+D132)/2</x:f>
        <x:v>0.0627951486211984</x:v>
      </x:c>
      <x:c r="F141" s="263" t="n">
        <x:v>0.06279514862119817</x:v>
      </x:c>
      <x:c r="G141" s="303" t="n">
        <x:f>(F141-E141)*100</x:f>
        <x:v>-2.220446049250313e-14</x:v>
      </x:c>
      <x:c r="H141" s="260" t="n">
        <x:v>3.389846279710143</x:v>
      </x:c>
      <x:c r="I141" s="267" t="n">
        <x:f>F141*H141</x:f>
        <x:v>0.21286590093741414</x:v>
      </x:c>
    </x:row>
    <x:row r="142">
      <x:c r="A142" s="240" t="n">
        <x:v>2020</x:v>
      </x:c>
      <x:c r="B142" s="240" t="str">
        <x:v>Minería</x:v>
      </x:c>
      <x:c r="C142" s="298" t="n">
        <x:v>76193</x:v>
      </x:c>
      <x:c r="D142" s="270" t="n">
        <x:f>C142/SUMIF($A$6:$A$185,A142,$C$6:$C$185)</x:f>
        <x:v>0.04349727374915295</x:v>
      </x:c>
      <x:c r="E142" s="270" t="n">
        <x:f>(D142+D133)/2</x:f>
        <x:v>0.04991447758587614</x:v>
      </x:c>
      <x:c r="F142" s="264" t="n">
        <x:v>0.04991447758587564</x:v>
      </x:c>
      <x:c r="G142" s="304" t="n">
        <x:f>(F142-E142)*100</x:f>
        <x:v>-4.9960036108132044e-14</x:v>
      </x:c>
      <x:c r="H142" s="261" t="n">
        <x:v>-8.483295101509748</x:v>
      </x:c>
      <x:c r="I142" s="269" t="n">
        <x:f>F142*H142</x:f>
        <x:v>-0.42343924319867693</x:v>
      </x:c>
    </x:row>
    <x:row r="143">
      <x:c r="A143" s="258" t="n">
        <x:v>2020</x:v>
      </x:c>
      <x:c r="B143" s="258" t="str">
        <x:v>Manufactura</x:v>
      </x:c>
      <x:c r="C143" s="297" t="n">
        <x:v>372703</x:v>
      </x:c>
      <x:c r="D143" s="268" t="n">
        <x:f>C143/SUMIF($A$6:$A$185,A143,$C$6:$C$185)</x:f>
        <x:v>0.21276973499049195</x:v>
      </x:c>
      <x:c r="E143" s="268" t="n">
        <x:f>(D143+D134)/2</x:f>
        <x:v>0.21172876731462154</x:v>
      </x:c>
      <x:c r="F143" s="263" t="n">
        <x:v>0.211729574875545</x:v>
      </x:c>
      <x:c r="G143" s="303" t="n">
        <x:f>(F143-E143)*100</x:f>
        <x:v>0.00008075609234658998</x:v>
      </x:c>
      <x:c r="H143" s="260" t="n">
        <x:v>-1.930024983786335</x:v>
      </x:c>
      <x:c r="I143" s="267" t="n">
        <x:f>F143*H143</x:f>
        <x:v>-0.40864336931626133</x:v>
      </x:c>
    </x:row>
    <x:row r="144">
      <x:c r="A144" s="240" t="n">
        <x:v>2020</x:v>
      </x:c>
      <x:c r="B144" s="240" t="str">
        <x:v>Servicios públicos</x:v>
      </x:c>
      <x:c r="C144" s="298" t="n">
        <x:v>72278</x:v>
      </x:c>
      <x:c r="D144" s="270" t="n">
        <x:f>C144/SUMIF($A$6:$A$185,A144,$C$6:$C$185)</x:f>
        <x:v>0.0412622675579289</x:v>
      </x:c>
      <x:c r="E144" s="270" t="n">
        <x:f>(D144+D135)/2</x:f>
        <x:v>0.03887474260722047</x:v>
      </x:c>
      <x:c r="F144" s="264" t="n">
        <x:v>0.03887474260722046</x:v>
      </x:c>
      <x:c r="G144" s="304" t="n">
        <x:f>(F144-E144)*100</x:f>
        <x:v>-1.3877787807814457e-15</x:v>
      </x:c>
      <x:c r="H144" s="261" t="n">
        <x:v>-0.8771261881283954</x:v>
      </x:c>
      <x:c r="I144" s="269" t="n">
        <x:f>F144*H144</x:f>
        <x:v>-0.0340980547975438</x:v>
      </x:c>
    </x:row>
    <x:row r="145">
      <x:c r="A145" s="258" t="n">
        <x:v>2020</x:v>
      </x:c>
      <x:c r="B145" s="258" t="str">
        <x:v>Construcción</x:v>
      </x:c>
      <x:c r="C145" s="297" t="n">
        <x:v>129972</x:v>
      </x:c>
      <x:c r="D145" s="268" t="n">
        <x:f>C145/SUMIF($A$6:$A$185,A145,$C$6:$C$185)</x:f>
        <x:v>0.07419878025179358</x:v>
      </x:c>
      <x:c r="E145" s="268" t="n">
        <x:f>(D145+D136)/2</x:f>
        <x:v>0.08291797425624789</x:v>
      </x:c>
      <x:c r="F145" s="263" t="n">
        <x:v>0.08291797425624801</x:v>
      </x:c>
      <x:c r="G145" s="303" t="n">
        <x:f>(F145-E145)*100</x:f>
        <x:v>1.2490009027033011e-14</x:v>
      </x:c>
      <x:c r="H145" s="260" t="n">
        <x:v>-9.761664221966765</x:v>
      </x:c>
      <x:c r="I145" s="267" t="n">
        <x:f>F145*H145</x:f>
        <x:v>-0.8094174226551775</x:v>
      </x:c>
    </x:row>
    <x:row r="146">
      <x:c r="A146" s="240" t="n">
        <x:v>2020</x:v>
      </x:c>
      <x:c r="B146" s="240" t="str">
        <x:v>Comercio y hotelería</x:v>
      </x:c>
      <x:c r="C146" s="298" t="n">
        <x:v>235558</x:v>
      </x:c>
      <x:c r="D146" s="270" t="n">
        <x:f>C146/SUMIF($A$6:$A$185,A146,$C$6:$C$185)</x:f>
        <x:v>0.13447601236075454</x:v>
      </x:c>
      <x:c r="E146" s="270" t="n">
        <x:f>(D146+D137)/2</x:f>
        <x:v>0.1330450691082163</x:v>
      </x:c>
      <x:c r="F146" s="264" t="n">
        <x:v>0.13304506910821626</x:v>
      </x:c>
      <x:c r="G146" s="304" t="n">
        <x:f>(F146-E146)*100</x:f>
        <x:v>-5.551115123125783e-15</x:v>
      </x:c>
      <x:c r="H146" s="261" t="n">
        <x:v>1.953203178637931</x:v>
      </x:c>
      <x:c r="I146" s="269" t="n">
        <x:f>F146*H146</x:f>
        <x:v>0.2598640518842712</x:v>
      </x:c>
    </x:row>
    <x:row r="147">
      <x:c r="A147" s="258" t="n">
        <x:v>2020</x:v>
      </x:c>
      <x:c r="B147" s="258" t="str">
        <x:v>Transporte y comunicaciones</x:v>
      </x:c>
      <x:c r="C147" s="297" t="n">
        <x:v>138908</x:v>
      </x:c>
      <x:c r="D147" s="268" t="n">
        <x:f>C147/SUMIF($A$6:$A$185,A147,$C$6:$C$185)</x:f>
        <x:v>0.07930018901929756</x:v>
      </x:c>
      <x:c r="E147" s="268" t="n">
        <x:f>(D147+D138)/2</x:f>
        <x:v>0.08275258206648088</x:v>
      </x:c>
      <x:c r="F147" s="263" t="n">
        <x:v>0.08275258206648115</x:v>
      </x:c>
      <x:c r="G147" s="303" t="n">
        <x:f>(F147-E147)*100</x:f>
        <x:v>2.6367796834847468e-14</x:v>
      </x:c>
      <x:c r="H147" s="260" t="n">
        <x:v>-1.071150570203915</x:v>
      </x:c>
      <x:c r="I147" s="267" t="n">
        <x:f>F147*H147</x:f>
        <x:v>-0.08864047546635755</x:v>
      </x:c>
    </x:row>
    <x:row r="148">
      <x:c r="A148" s="240" t="n">
        <x:v>2020</x:v>
      </x:c>
      <x:c r="B148" s="240" t="str">
        <x:v>Financieras</x:v>
      </x:c>
      <x:c r="C148" s="298" t="n">
        <x:v>290451</x:v>
      </x:c>
      <x:c r="D148" s="270" t="n">
        <x:f>C148/SUMIF($A$6:$A$185,A148,$C$6:$C$185)</x:f>
        <x:v>0.16581348231091078</x:v>
      </x:c>
      <x:c r="E148" s="270" t="n">
        <x:f>(D148+D139)/2</x:f>
        <x:v>0.1604102473157993</x:v>
      </x:c>
      <x:c r="F148" s="264" t="n">
        <x:v>0.16040997812882507</x:v>
      </x:c>
      <x:c r="G148" s="304" t="n">
        <x:f>(F148-E148)*100</x:f>
        <x:v>-0.00002691869742388331</x:v>
      </x:c>
      <x:c r="H148" s="261" t="n">
        <x:v>0.6845146278142356</x:v>
      </x:c>
      <x:c r="I148" s="269" t="n">
        <x:f>F148*H148</x:f>
        <x:v>0.10980297647654236</x:v>
      </x:c>
    </x:row>
    <x:row r="149">
      <x:c r="A149" s="258" t="n">
        <x:v>2020</x:v>
      </x:c>
      <x:c r="B149" s="258" t="str">
        <x:v>Servicios sociales y personales</x:v>
      </x:c>
      <x:c r="C149" s="297" t="n">
        <x:v>316967</x:v>
      </x:c>
      <x:c r="D149" s="268" t="n">
        <x:f>C149/SUMIF($A$6:$A$185,A149,$C$6:$C$185)</x:f>
        <x:v>0.18095101083364304</x:v>
      </x:c>
      <x:c r="E149" s="268" t="n">
        <x:f>(D149+D140)/2</x:f>
        <x:v>0.1775609911243391</x:v>
      </x:c>
      <x:c r="F149" s="263" t="n">
        <x:v>0.17756045275038995</x:v>
      </x:c>
      <x:c r="G149" s="303" t="n">
        <x:f>(F149-E149)*100</x:f>
        <x:v>-0.00005383739491438</x:v>
      </x:c>
      <x:c r="H149" s="260" t="n">
        <x:v>2.264607604362762</x:v>
      </x:c>
      <x:c r="I149" s="267" t="n">
        <x:f>F149*H149</x:f>
        <x:v>0.402104751532628</x:v>
      </x:c>
    </x:row>
    <x:row r="150">
      <x:c r="A150" s="240" t="n">
        <x:v>2021</x:v>
      </x:c>
      <x:c r="B150" s="240" t="str">
        <x:v>Agropecuario</x:v>
      </x:c>
      <x:c r="C150" s="298" t="n">
        <x:v>145790</x:v>
      </x:c>
      <x:c r="D150" s="270" t="n">
        <x:f>C150/SUMIF($A$6:$A$185,A150,$C$6:$C$185)</x:f>
        <x:v>0.06812425819836827</x:v>
      </x:c>
      <x:c r="E150" s="270" t="n">
        <x:f>(D150+D141)/2</x:f>
        <x:v>0.06792775356219749</x:v>
      </x:c>
      <x:c r="F150" s="264" t="n">
        <x:v>0.06792466277735687</x:v>
      </x:c>
      <x:c r="G150" s="304" t="n">
        <x:f>(F150-E150)*100</x:f>
        <x:v>-0.00030907848406203087</x:v>
      </x:c>
      <x:c r="H150" s="261" t="n">
        <x:v>1.204753520687161</x:v>
      </x:c>
      <x:c r="I150" s="269" t="n">
        <x:f>F150*H150</x:f>
        <x:v>0.08183247662250884</x:v>
      </x:c>
    </x:row>
    <x:row r="151">
      <x:c r="A151" s="258" t="n">
        <x:v>2021</x:v>
      </x:c>
      <x:c r="B151" s="258" t="str">
        <x:v>Minería</x:v>
      </x:c>
      <x:c r="C151" s="297" t="n">
        <x:v>110593</x:v>
      </x:c>
      <x:c r="D151" s="268" t="n">
        <x:f>C151/SUMIF($A$6:$A$185,A151,$C$6:$C$185)</x:f>
        <x:v>0.05167752306010112</x:v>
      </x:c>
      <x:c r="E151" s="268" t="n">
        <x:f>(D151+D142)/2</x:f>
        <x:v>0.047587398404627036</x:v>
      </x:c>
      <x:c r="F151" s="263" t="n">
        <x:v>0.0475877123285182</x:v>
      </x:c>
      <x:c r="G151" s="303" t="n">
        <x:f>(F151-E151)*100</x:f>
        <x:v>0.000031392389116674524</x:v>
      </x:c>
      <x:c r="H151" s="260" t="n">
        <x:v>-2.474676532535527</x:v>
      </x:c>
      <x:c r="I151" s="267" t="n">
        <x:f>F151*H151</x:f>
        <x:v>-0.11776419493643557</x:v>
      </x:c>
    </x:row>
    <x:row r="152">
      <x:c r="A152" s="240" t="n">
        <x:v>2021</x:v>
      </x:c>
      <x:c r="B152" s="240" t="str">
        <x:v>Manufactura</x:v>
      </x:c>
      <x:c r="C152" s="298" t="n">
        <x:v>482516</x:v>
      </x:c>
      <x:c r="D152" s="270" t="n">
        <x:f>C152/SUMIF($A$6:$A$185,A152,$C$6:$C$185)</x:f>
        <x:v>0.2254684448099586</x:v>
      </x:c>
      <x:c r="E152" s="270" t="n">
        <x:f>(D152+D143)/2</x:f>
        <x:v>0.21911908990022527</x:v>
      </x:c>
      <x:c r="F152" s="264" t="n">
        <x:v>0.21911905769970016</x:v>
      </x:c>
      <x:c r="G152" s="304" t="n">
        <x:f>(F152-E152)*100</x:f>
        <x:v>-0.000003220052510743976</x:v>
      </x:c>
      <x:c r="H152" s="261" t="n">
        <x:v>3.971828176181219</x:v>
      </x:c>
      <x:c r="I152" s="269" t="n">
        <x:f>F152*H152</x:f>
        <x:v>0.8703032473099473</x:v>
      </x:c>
    </x:row>
    <x:row r="153">
      <x:c r="A153" s="258" t="n">
        <x:v>2021</x:v>
      </x:c>
      <x:c r="B153" s="258" t="str">
        <x:v>Servicios públicos</x:v>
      </x:c>
      <x:c r="C153" s="297" t="n">
        <x:v>80441</x:v>
      </x:c>
      <x:c r="D153" s="268" t="n">
        <x:f>C153/SUMIF($A$6:$A$185,A153,$C$6:$C$185)</x:f>
        <x:v>0.03758819846172537</x:v>
      </x:c>
      <x:c r="E153" s="268" t="n">
        <x:f>(D153+D144)/2</x:f>
        <x:v>0.039425233009827136</x:v>
      </x:c>
      <x:c r="F153" s="263" t="n">
        <x:v>0.03942546134572378</x:v>
      </x:c>
      <x:c r="G153" s="303" t="n">
        <x:f>(F153-E153)*100</x:f>
        <x:v>0.000022833589664178477</x:v>
      </x:c>
      <x:c r="H153" s="260" t="n">
        <x:v>1.474460386710647</x:v>
      </x:c>
      <x:c r="I153" s="267" t="n">
        <x:f>F153*H153</x:f>
        <x:v>0.058131280982061544</x:v>
      </x:c>
    </x:row>
    <x:row r="154">
      <x:c r="A154" s="240" t="n">
        <x:v>2021</x:v>
      </x:c>
      <x:c r="B154" s="240" t="str">
        <x:v>Construcción</x:v>
      </x:c>
      <x:c r="C154" s="298" t="n">
        <x:v>146372</x:v>
      </x:c>
      <x:c r="D154" s="270" t="n">
        <x:f>C154/SUMIF($A$6:$A$185,A154,$C$6:$C$185)</x:f>
        <x:v>0.06839621319028438</x:v>
      </x:c>
      <x:c r="E154" s="270" t="n">
        <x:f>(D154+D145)/2</x:f>
        <x:v>0.07129749672103898</x:v>
      </x:c>
      <x:c r="F154" s="264" t="n">
        <x:v>0.07129791220545306</x:v>
      </x:c>
      <x:c r="G154" s="304" t="n">
        <x:f>(F154-E154)*100</x:f>
        <x:v>0.00004154844140819014</x:v>
      </x:c>
      <x:c r="H154" s="261" t="n">
        <x:v>-2.709261822021173</x:v>
      </x:c>
      <x:c r="I154" s="269" t="n">
        <x:f>F154*H154</x:f>
        <x:v>-0.1931647115280514</x:v>
      </x:c>
    </x:row>
    <x:row r="155">
      <x:c r="A155" s="258" t="n">
        <x:v>2021</x:v>
      </x:c>
      <x:c r="B155" s="258" t="str">
        <x:v>Comercio y hotelería</x:v>
      </x:c>
      <x:c r="C155" s="297" t="n">
        <x:v>324432</x:v>
      </x:c>
      <x:c r="D155" s="268" t="n">
        <x:f>C155/SUMIF($A$6:$A$185,A155,$C$6:$C$185)</x:f>
        <x:v>0.15159948786482622</x:v>
      </x:c>
      <x:c r="E155" s="268" t="n">
        <x:f>(D155+D146)/2</x:f>
        <x:v>0.14303775011279038</x:v>
      </x:c>
      <x:c r="F155" s="263" t="n">
        <x:v>0.1430377364650371</x:v>
      </x:c>
      <x:c r="G155" s="303" t="n">
        <x:f>(F155-E155)*100</x:f>
        <x:v>-0.0000013647753288603681</x:v>
      </x:c>
      <x:c r="H155" s="260" t="n">
        <x:v>6.420836065770416</x:v>
      </x:c>
      <x:c r="I155" s="267" t="n">
        <x:f>F155*H155</x:f>
        <x:v>0.9184218570608743</x:v>
      </x:c>
    </x:row>
    <x:row r="156">
      <x:c r="A156" s="240" t="n">
        <x:v>2021</x:v>
      </x:c>
      <x:c r="B156" s="240" t="str">
        <x:v>Transporte y comunicaciones</x:v>
      </x:c>
      <x:c r="C156" s="298" t="n">
        <x:v>165469</x:v>
      </x:c>
      <x:c r="D156" s="270" t="n">
        <x:f>C156/SUMIF($A$6:$A$185,A156,$C$6:$C$185)</x:f>
        <x:v>0.0773197947721092</x:v>
      </x:c>
      <x:c r="E156" s="270" t="n">
        <x:f>(D156+D147)/2</x:f>
        <x:v>0.07830999189570337</x:v>
      </x:c>
      <x:c r="F156" s="264" t="n">
        <x:v>0.07831022794678064</x:v>
      </x:c>
      <x:c r="G156" s="304" t="n">
        <x:f>(F156-E156)*100</x:f>
        <x:v>0.00002360510772680957</x:v>
      </x:c>
      <x:c r="H156" s="261" t="n">
        <x:v>0.3587370035522532</x:v>
      </x:c>
      <x:c r="I156" s="269" t="n">
        <x:f>F156*H156</x:f>
        <x:v>0.028092776521122003</x:v>
      </x:c>
    </x:row>
    <x:row r="157">
      <x:c r="A157" s="258" t="n">
        <x:v>2021</x:v>
      </x:c>
      <x:c r="B157" s="258" t="str">
        <x:v>Financieras</x:v>
      </x:c>
      <x:c r="C157" s="297" t="n">
        <x:v>315041</x:v>
      </x:c>
      <x:c r="D157" s="268" t="n">
        <x:f>C157/SUMIF($A$6:$A$185,A157,$C$6:$C$185)</x:f>
        <x:v>0.1472112931413138</x:v>
      </x:c>
      <x:c r="E157" s="268" t="n">
        <x:f>(D157+D148)/2</x:f>
        <x:v>0.15651238772611228</x:v>
      </x:c>
      <x:c r="F157" s="263" t="n">
        <x:v>0.15651328198611508</x:v>
      </x:c>
      <x:c r="G157" s="303" t="n">
        <x:f>(F157-E157)*100</x:f>
        <x:v>0.00008942600027983527</x:v>
      </x:c>
      <x:c r="H157" s="260" t="n">
        <x:v>-6.700988681017407</x:v>
      </x:c>
      <x:c r="I157" s="267" t="n">
        <x:f>F157*H157</x:f>
        <x:v>-1.0487937310178428</x:v>
      </x:c>
    </x:row>
    <x:row r="158">
      <x:c r="A158" s="240" t="n">
        <x:v>2021</x:v>
      </x:c>
      <x:c r="B158" s="240" t="str">
        <x:v>Servicios sociales y personales</x:v>
      </x:c>
      <x:c r="C158" s="298" t="n">
        <x:v>369406</x:v>
      </x:c>
      <x:c r="D158" s="270" t="n">
        <x:f>C158/SUMIF($A$6:$A$185,A158,$C$6:$C$185)</x:f>
        <x:v>0.17261478650131304</x:v>
      </x:c>
      <x:c r="E158" s="270" t="n">
        <x:f>(D158+D149)/2</x:f>
        <x:v>0.17678289866747804</x:v>
      </x:c>
      <x:c r="F158" s="264" t="n">
        <x:v>0.17678394724531565</x:v>
      </x:c>
      <x:c r="G158" s="304" t="n">
        <x:f>(F158-E158)*100</x:f>
        <x:v>0.00010485778376145838</x:v>
      </x:c>
      <x:c r="H158" s="261" t="n">
        <x:v>0.09759719797223987</x:v>
      </x:c>
      <x:c r="I158" s="269" t="n">
        <x:f>F158*H158</x:f>
        <x:v>0.017253617897615082</x:v>
      </x:c>
    </x:row>
    <x:row r="159">
      <x:c r="A159" s="258" t="n">
        <x:v>2022</x:v>
      </x:c>
      <x:c r="B159" s="258" t="str">
        <x:v>Agropecuario</x:v>
      </x:c>
      <x:c r="C159" s="297" t="n">
        <x:v>199185</x:v>
      </x:c>
      <x:c r="D159" s="268" t="n">
        <x:f>C159/SUMIF($A$6:$A$185,A159,$C$6:$C$185)</x:f>
        <x:v>0.07446822431129464</x:v>
      </x:c>
      <x:c r="E159" s="268" t="n">
        <x:f>(D159+D150)/2</x:f>
        <x:v>0.07129624125483146</x:v>
      </x:c>
      <x:c r="F159" s="263" t="n">
        <x:v>0.07129315046999224</x:v>
      </x:c>
      <x:c r="G159" s="303" t="n">
        <x:f>(F159-E159)*100</x:f>
        <x:v>-0.0003090784839218652</x:v>
      </x:c>
      <x:c r="H159" s="260" t="n">
        <x:v>-0.8934836504422696</x:v>
      </x:c>
      <x:c r="I159" s="267" t="n">
        <x:f>F159*H159</x:f>
        <x:v>-0.06369926433345868</x:v>
      </x:c>
    </x:row>
    <x:row r="160">
      <x:c r="A160" s="240" t="n">
        <x:v>2022</x:v>
      </x:c>
      <x:c r="B160" s="240" t="str">
        <x:v>Minería</x:v>
      </x:c>
      <x:c r="C160" s="298" t="n">
        <x:v>183283</x:v>
      </x:c>
      <x:c r="D160" s="270" t="n">
        <x:f>C160/SUMIF($A$6:$A$185,A160,$C$6:$C$185)</x:f>
        <x:v>0.06852302912592322</x:v>
      </x:c>
      <x:c r="E160" s="270" t="n">
        <x:f>(D160+D151)/2</x:f>
        <x:v>0.06010027609301217</x:v>
      </x:c>
      <x:c r="F160" s="264" t="n">
        <x:v>0.06010059001690361</x:v>
      </x:c>
      <x:c r="G160" s="304" t="n">
        <x:f>(F160-E160)*100</x:f>
        <x:v>0.0000313923891444301</x:v>
      </x:c>
      <x:c r="H160" s="261" t="n">
        <x:v>-1.176746730117744</x:v>
      </x:c>
      <x:c r="I160" s="269" t="n">
        <x:f>F160*H160</x:f>
        <x:v>-0.07072317278053847</x:v>
      </x:c>
    </x:row>
    <x:row r="161">
      <x:c r="A161" s="258" t="n">
        <x:v>2022</x:v>
      </x:c>
      <x:c r="B161" s="258" t="str">
        <x:v>Manufactura</x:v>
      </x:c>
      <x:c r="C161" s="297" t="n">
        <x:v>607923</x:v>
      </x:c>
      <x:c r="D161" s="268" t="n">
        <x:f>C161/SUMIF($A$6:$A$185,A161,$C$6:$C$185)</x:f>
        <x:v>0.2272809013128256</x:v>
      </x:c>
      <x:c r="E161" s="268" t="n">
        <x:f>(D161+D152)/2</x:f>
        <x:v>0.22637467306139208</x:v>
      </x:c>
      <x:c r="F161" s="263" t="n">
        <x:v>0.22637464086086873</x:v>
      </x:c>
      <x:c r="G161" s="303" t="n">
        <x:f>(F161-E161)*100</x:f>
        <x:v>-0.0000032200523358838495</x:v>
      </x:c>
      <x:c r="H161" s="260" t="n">
        <x:v>-0.5837025630257742</x:v>
      </x:c>
      <x:c r="I161" s="267" t="n">
        <x:f>F161*H161</x:f>
        <x:v>-0.13213545807452823</x:v>
      </x:c>
    </x:row>
    <x:row r="162">
      <x:c r="A162" s="240" t="n">
        <x:v>2022</x:v>
      </x:c>
      <x:c r="B162" s="240" t="str">
        <x:v>Servicios públicos</x:v>
      </x:c>
      <x:c r="C162" s="298" t="n">
        <x:v>98693</x:v>
      </x:c>
      <x:c r="D162" s="270" t="n">
        <x:f>C162/SUMIF($A$6:$A$185,A162,$C$6:$C$185)</x:f>
        <x:v>0.03689782093006302</x:v>
      </x:c>
      <x:c r="E162" s="270" t="n">
        <x:f>(D162+D153)/2</x:f>
        <x:v>0.0372430096958942</x:v>
      </x:c>
      <x:c r="F162" s="264" t="n">
        <x:v>0.037243238031789104</x:v>
      </x:c>
      <x:c r="G162" s="304" t="n">
        <x:f>(F162-E162)*100</x:f>
        <x:v>0.00002283358949070613</x:v>
      </x:c>
      <x:c r="H162" s="261" t="n">
        <x:v>1.372060406158591</x:v>
      </x:c>
      <x:c r="I162" s="269" t="n">
        <x:f>F162*H162</x:f>
        <x:v>0.05109997230055764</x:v>
      </x:c>
    </x:row>
    <x:row r="163">
      <x:c r="A163" s="258" t="n">
        <x:v>2022</x:v>
      </x:c>
      <x:c r="B163" s="258" t="str">
        <x:v>Construcción</x:v>
      </x:c>
      <x:c r="C163" s="297" t="n">
        <x:v>172207</x:v>
      </x:c>
      <x:c r="D163" s="268" t="n">
        <x:f>C163/SUMIF($A$6:$A$185,A163,$C$6:$C$185)</x:f>
        <x:v>0.0643821045961047</x:v>
      </x:c>
      <x:c r="E163" s="268" t="n">
        <x:f>(D163+D154)/2</x:f>
        <x:v>0.06638915889319455</x:v>
      </x:c>
      <x:c r="F163" s="263" t="n">
        <x:v>0.06638957437760729</x:v>
      </x:c>
      <x:c r="G163" s="303" t="n">
        <x:f>(F163-E163)*100</x:f>
        <x:v>0.0000415484412735756</x:v>
      </x:c>
      <x:c r="H163" s="260" t="n">
        <x:v>0.7594919834269636</x:v>
      </x:c>
      <x:c r="I163" s="267" t="n">
        <x:f>F163*H163</x:f>
        <x:v>0.05042234952292088</x:v>
      </x:c>
    </x:row>
    <x:row r="164">
      <x:c r="A164" s="240" t="n">
        <x:v>2022</x:v>
      </x:c>
      <x:c r="B164" s="240" t="str">
        <x:v>Comercio y hotelería</x:v>
      </x:c>
      <x:c r="C164" s="298" t="n">
        <x:v>425908</x:v>
      </x:c>
      <x:c r="D164" s="270" t="n">
        <x:f>C164/SUMIF($A$6:$A$185,A164,$C$6:$C$185)</x:f>
        <x:v>0.1592319325249134</x:v>
      </x:c>
      <x:c r="E164" s="270" t="n">
        <x:f>(D164+D155)/2</x:f>
        <x:v>0.15541571019486983</x:v>
      </x:c>
      <x:c r="F164" s="264" t="n">
        <x:v>0.15541569654711584</x:v>
      </x:c>
      <x:c r="G164" s="304" t="n">
        <x:f>(F164-E164)*100</x:f>
        <x:v>-0.0000013647753982493072</x:v>
      </x:c>
      <x:c r="H164" s="261" t="n">
        <x:v>0.5579108185024388</x:v>
      </x:c>
      <x:c r="I164" s="269" t="n">
        <x:f>F164*H164</x:f>
        <x:v>0.08670809846872805</x:v>
      </x:c>
    </x:row>
    <x:row r="165">
      <x:c r="A165" s="258" t="n">
        <x:v>2022</x:v>
      </x:c>
      <x:c r="B165" s="258" t="str">
        <x:v>Transporte y comunicaciones</x:v>
      </x:c>
      <x:c r="C165" s="297" t="n">
        <x:v>210621</x:v>
      </x:c>
      <x:c r="D165" s="268" t="n">
        <x:f>C165/SUMIF($A$6:$A$185,A165,$C$6:$C$185)</x:f>
        <x:v>0.07874374010427085</x:v>
      </x:c>
      <x:c r="E165" s="268" t="n">
        <x:f>(D165+D156)/2</x:f>
        <x:v>0.07803176743819001</x:v>
      </x:c>
      <x:c r="F165" s="263" t="n">
        <x:v>0.07803200348926764</x:v>
      </x:c>
      <x:c r="G165" s="303" t="n">
        <x:f>(F165-E165)*100</x:f>
        <x:v>0.00002360510776289182</x:v>
      </x:c>
      <x:c r="H165" s="260" t="n">
        <x:v>2.453327082308974</x:v>
      </x:c>
      <x:c r="I165" s="267" t="n">
        <x:f>F165*H165</x:f>
        <x:v>0.1914380274470487</x:v>
      </x:c>
    </x:row>
    <x:row r="166">
      <x:c r="A166" s="240" t="n">
        <x:v>2022</x:v>
      </x:c>
      <x:c r="B166" s="240" t="str">
        <x:v>Financieras</x:v>
      </x:c>
      <x:c r="C166" s="298" t="n">
        <x:v>351436</x:v>
      </x:c>
      <x:c r="D166" s="270" t="n">
        <x:f>C166/SUMIF($A$6:$A$185,A166,$C$6:$C$185)</x:f>
        <x:v>0.1313894865530243</x:v>
      </x:c>
      <x:c r="E166" s="270" t="n">
        <x:f>(D166+D157)/2</x:f>
        <x:v>0.13930038984716903</x:v>
      </x:c>
      <x:c r="F166" s="264" t="n">
        <x:v>0.13930128410717157</x:v>
      </x:c>
      <x:c r="G166" s="304" t="n">
        <x:f>(F166-E166)*100</x:f>
        <x:v>0.00008942600025485525</x:v>
      </x:c>
      <x:c r="H166" s="261" t="n">
        <x:v>0.28125281628314</x:v>
      </x:c>
      <x:c r="I166" s="269" t="n">
        <x:f>F166*H166</x:f>
        <x:v>0.039178878466999814</x:v>
      </x:c>
    </x:row>
    <x:row r="167">
      <x:c r="A167" s="258" t="n">
        <x:v>2022</x:v>
      </x:c>
      <x:c r="B167" s="258" t="str">
        <x:v>Servicios sociales y personales</x:v>
      </x:c>
      <x:c r="C167" s="297" t="n">
        <x:v>425509</x:v>
      </x:c>
      <x:c r="D167" s="268" t="n">
        <x:f>C167/SUMIF($A$6:$A$185,A167,$C$6:$C$185)</x:f>
        <x:v>0.1590827605415803</x:v>
      </x:c>
      <x:c r="E167" s="268" t="n">
        <x:f>(D167+D158)/2</x:f>
        <x:v>0.16584877352144667</x:v>
      </x:c>
      <x:c r="F167" s="263" t="n">
        <x:v>0.1658498220992841</x:v>
      </x:c>
      <x:c r="G167" s="303" t="n">
        <x:f>(F167-E167)*100</x:f>
        <x:v>0.00010485778374202948</x:v>
      </x:c>
      <x:c r="H167" s="260" t="n">
        <x:v>-0.6500565364832234</x:v>
      </x:c>
      <x:c r="I167" s="267" t="n">
        <x:f>F167*H167</x:f>
        <x:v>-0.10781176093021937</x:v>
      </x:c>
    </x:row>
    <x:row r="168">
      <x:c r="A168" s="240" t="n">
        <x:v>2023</x:v>
      </x:c>
      <x:c r="B168" s="240" t="str">
        <x:v>Agropecuario</x:v>
      </x:c>
      <x:c r="C168" s="298" t="n">
        <x:v>211233</x:v>
      </x:c>
      <x:c r="D168" s="270" t="n">
        <x:f>C168/SUMIF($A$6:$A$185,A168,$C$6:$C$185)</x:f>
        <x:v>0.07437991211020029</x:v>
      </x:c>
      <x:c r="E168" s="270" t="n">
        <x:f>(D168+D159)/2</x:f>
        <x:v>0.07442406821074746</x:v>
      </x:c>
      <x:c r="F168" s="264" t="n">
        <x:v>0.07442406821074765</x:v>
      </x:c>
      <x:c r="G168" s="304" t="n">
        <x:f>(F168-E168)*100</x:f>
        <x:v>1.942890293094024e-14</x:v>
      </x:c>
      <x:c r="H168" s="261" t="n">
        <x:v>0.4196019054416946</x:v>
      </x:c>
      <x:c r="I168" s="269" t="n">
        <x:f>F168*H168</x:f>
        <x:v>0.031228480831952368</x:v>
      </x:c>
    </x:row>
    <x:row r="169">
      <x:c r="A169" s="258" t="n">
        <x:v>2023</x:v>
      </x:c>
      <x:c r="B169" s="258" t="str">
        <x:v>Minería</x:v>
      </x:c>
      <x:c r="C169" s="297" t="n">
        <x:v>153080</x:v>
      </x:c>
      <x:c r="D169" s="268" t="n">
        <x:f>C169/SUMIF($A$6:$A$185,A169,$C$6:$C$185)</x:f>
        <x:v>0.05390292684300966</x:v>
      </x:c>
      <x:c r="E169" s="268" t="n">
        <x:f>(D169+D160)/2</x:f>
        <x:v>0.06121297798446644</x:v>
      </x:c>
      <x:c r="F169" s="263" t="n">
        <x:v>0.061212977984466455</x:v>
      </x:c>
      <x:c r="G169" s="303" t="n">
        <x:f>(F169-E169)*100</x:f>
        <x:v>1.3877787807814457e-15</x:v>
      </x:c>
      <x:c r="H169" s="260" t="n">
        <x:v>-0.6001539964622307</x:v>
      </x:c>
      <x:c r="I169" s="267" t="n">
        <x:f>F169*H169</x:f>
        <x:v>-0.036737213372732086</x:v>
      </x:c>
    </x:row>
    <x:row r="170">
      <x:c r="A170" s="240" t="n">
        <x:v>2023</x:v>
      </x:c>
      <x:c r="B170" s="240" t="str">
        <x:v>Manufactura</x:v>
      </x:c>
      <x:c r="C170" s="298" t="n">
        <x:v>619942</x:v>
      </x:c>
      <x:c r="D170" s="270" t="n">
        <x:f>C170/SUMIF($A$6:$A$185,A170,$C$6:$C$185)</x:f>
        <x:v>0.21829558579114905</x:v>
      </x:c>
      <x:c r="E170" s="270" t="n">
        <x:f>(D170+D161)/2</x:f>
        <x:v>0.22278824355198734</x:v>
      </x:c>
      <x:c r="F170" s="264" t="n">
        <x:v>0.22278824355198745</x:v>
      </x:c>
      <x:c r="G170" s="304" t="n">
        <x:f>(F170-E170)*100</x:f>
        <x:v>1.1102230246251565e-14</x:v>
      </x:c>
      <x:c r="H170" s="261" t="n">
        <x:v>-1.039587191784061</x:v>
      </x:c>
      <x:c r="I170" s="269" t="n">
        <x:f>F170*H170</x:f>
        <x:v>-0.23160780447671406</x:v>
      </x:c>
    </x:row>
    <x:row r="171">
      <x:c r="A171" s="258" t="n">
        <x:v>2023</x:v>
      </x:c>
      <x:c r="B171" s="258" t="str">
        <x:v>Servicios públicos</x:v>
      </x:c>
      <x:c r="C171" s="297" t="n">
        <x:v>121509</x:v>
      </x:c>
      <x:c r="D171" s="268" t="n">
        <x:f>C171/SUMIF($A$6:$A$185,A171,$C$6:$C$185)</x:f>
        <x:v>0.04278606439618017</x:v>
      </x:c>
      <x:c r="E171" s="268" t="n">
        <x:f>(D171+D162)/2</x:f>
        <x:v>0.03984194266312159</x:v>
      </x:c>
      <x:c r="F171" s="263" t="n">
        <x:v>0.03984194266312166</x:v>
      </x:c>
      <x:c r="G171" s="303" t="n">
        <x:f>(F171-E171)*100</x:f>
        <x:v>6.938893903907228e-15</x:v>
      </x:c>
      <x:c r="H171" s="260" t="n">
        <x:v>0.3562460571739474</x:v>
      </x:c>
      <x:c r="I171" s="267" t="n">
        <x:f>F171*H171</x:f>
        <x:v>0.014193534983887575</x:v>
      </x:c>
    </x:row>
    <x:row r="172">
      <x:c r="A172" s="240" t="n">
        <x:v>2023</x:v>
      </x:c>
      <x:c r="B172" s="240" t="str">
        <x:v>Construcción</x:v>
      </x:c>
      <x:c r="C172" s="298" t="n">
        <x:v>185790</x:v>
      </x:c>
      <x:c r="D172" s="270" t="n">
        <x:f>C172/SUMIF($A$6:$A$185,A172,$C$6:$C$185)</x:f>
        <x:v>0.0654208569255472</x:v>
      </x:c>
      <x:c r="E172" s="270" t="n">
        <x:f>(D172+D163)/2</x:f>
        <x:v>0.06490148076082594</x:v>
      </x:c>
      <x:c r="F172" s="264" t="n">
        <x:v>0.06490148076082608</x:v>
      </x:c>
      <x:c r="G172" s="304" t="n">
        <x:f>(F172-E172)*100</x:f>
        <x:v>1.3877787807814457e-14</x:v>
      </x:c>
      <x:c r="H172" s="261" t="n">
        <x:v>-1.415255627508405</x:v>
      </x:c>
      <x:c r="I172" s="269" t="n">
        <x:f>F172*H172</x:f>
        <x:v>-0.09185218588038759</x:v>
      </x:c>
    </x:row>
    <x:row r="173">
      <x:c r="A173" s="258" t="n">
        <x:v>2023</x:v>
      </x:c>
      <x:c r="B173" s="258" t="str">
        <x:v>Comercio y hotelería</x:v>
      </x:c>
      <x:c r="C173" s="297" t="n">
        <x:v>440124</x:v>
      </x:c>
      <x:c r="D173" s="268" t="n">
        <x:f>C173/SUMIF($A$6:$A$185,A173,$C$6:$C$185)</x:f>
        <x:v>0.15497760500295782</x:v>
      </x:c>
      <x:c r="E173" s="268" t="n">
        <x:f>(D173+D164)/2</x:f>
        <x:v>0.15710476876393561</x:v>
      </x:c>
      <x:c r="F173" s="263" t="n">
        <x:v>0.15710476876393561</x:v>
      </x:c>
      <x:c r="G173" s="303" t="n">
        <x:f>(F173-E173)*100</x:f>
        <x:v>0</x:v>
      </x:c>
      <x:c r="H173" s="260" t="n">
        <x:v>-3.489136011462874</x:v>
      </x:c>
      <x:c r="I173" s="267" t="n">
        <x:f>F173*H173</x:f>
        <x:v>-0.5481599062667954</x:v>
      </x:c>
    </x:row>
    <x:row r="174">
      <x:c r="A174" s="240" t="n">
        <x:v>2023</x:v>
      </x:c>
      <x:c r="B174" s="240" t="str">
        <x:v>Transporte y comunicaciones</x:v>
      </x:c>
      <x:c r="C174" s="298" t="n">
        <x:v>229455</x:v>
      </x:c>
      <x:c r="D174" s="270" t="n">
        <x:f>C174/SUMIF($A$6:$A$185,A174,$C$6:$C$185)</x:f>
        <x:v>0.08079629003633905</x:v>
      </x:c>
      <x:c r="E174" s="270" t="n">
        <x:f>(D174+D165)/2</x:f>
        <x:v>0.07977001507030496</x:v>
      </x:c>
      <x:c r="F174" s="264" t="n">
        <x:v>0.0797700150703049</x:v>
      </x:c>
      <x:c r="G174" s="304" t="n">
        <x:f>(F174-E174)*100</x:f>
        <x:v>-5.551115123125783e-15</x:v>
      </x:c>
      <x:c r="H174" s="261" t="n">
        <x:v>-2.502589639302834</x:v>
      </x:c>
      <x:c r="I174" s="269" t="n">
        <x:f>F174*H174</x:f>
        <x:v>-0.19963161324197598</x:v>
      </x:c>
    </x:row>
    <x:row r="175">
      <x:c r="A175" s="258" t="n">
        <x:v>2023</x:v>
      </x:c>
      <x:c r="B175" s="258" t="str">
        <x:v>Financieras</x:v>
      </x:c>
      <x:c r="C175" s="297" t="n">
        <x:v>384207</x:v>
      </x:c>
      <x:c r="D175" s="268" t="n">
        <x:f>C175/SUMIF($A$6:$A$185,A175,$C$6:$C$185)</x:f>
        <x:v>0.1352879658581932</x:v>
      </x:c>
      <x:c r="E175" s="268" t="n">
        <x:f>(D175+D166)/2</x:f>
        <x:v>0.13333872620560874</x:v>
      </x:c>
      <x:c r="F175" s="263" t="n">
        <x:v>0.13333872620560866</x:v>
      </x:c>
      <x:c r="G175" s="303" t="n">
        <x:f>(F175-E175)*100</x:f>
        <x:v>-8.326672684688674e-15</x:v>
      </x:c>
      <x:c r="H175" s="260" t="n">
        <x:v>-0.1634304909659878</x:v>
      </x:c>
      <x:c r="I175" s="267" t="n">
        <x:f>F175*H175</x:f>
        <x:v>-0.021791613488562046</x:v>
      </x:c>
    </x:row>
    <x:row r="176">
      <x:c r="A176" s="240" t="n">
        <x:v>2023</x:v>
      </x:c>
      <x:c r="B176" s="240" t="str">
        <x:v>Servicios sociales y personales</x:v>
      </x:c>
      <x:c r="C176" s="298" t="n">
        <x:v>494580</x:v>
      </x:c>
      <x:c r="D176" s="270" t="n">
        <x:f>C176/SUMIF($A$6:$A$185,A176,$C$6:$C$185)</x:f>
        <x:v>0.17415279303642356</x:v>
      </x:c>
      <x:c r="E176" s="270" t="n">
        <x:f>(D176+D167)/2</x:f>
        <x:v>0.16661777678900191</x:v>
      </x:c>
      <x:c r="F176" s="264" t="n">
        <x:v>0.16661777678900183</x:v>
      </x:c>
      <x:c r="G176" s="304" t="n">
        <x:f>(F176-E176)*100</x:f>
        <x:v>-8.326672684688674e-15</x:v>
      </x:c>
      <x:c r="H176" s="261" t="n">
        <x:v>3.47272225290181</x:v>
      </x:c>
      <x:c r="I176" s="269" t="n">
        <x:f>F176*H176</x:f>
        <x:v>0.5786172611841933</x:v>
      </x:c>
    </x:row>
    <x:row r="177">
      <x:c r="A177" s="258" t="n">
        <x:v>2024</x:v>
      </x:c>
      <x:c r="B177" s="258" t="str">
        <x:v>Agropecuario</x:v>
      </x:c>
      <x:c r="C177" s="297" t="n">
        <x:v>235666</x:v>
      </x:c>
      <x:c r="D177" s="268" t="n">
        <x:f>C177/SUMIF($A$6:$A$185,A177,$C$6:$C$185)</x:f>
        <x:v>0.07820699935819195</x:v>
      </x:c>
      <x:c r="E177" s="268" t="n">
        <x:f>(D177+D168)/2</x:f>
        <x:v>0.07629345573419612</x:v>
      </x:c>
      <x:c r="F177" s="263" t="n">
        <x:v>0.07629345573419605</x:v>
      </x:c>
      <x:c r="G177" s="303" t="n">
        <x:f>(F177-E177)*100</x:f>
        <x:v>-6.938893903907228e-15</x:v>
      </x:c>
      <x:c r="H177" s="260" t="n">
        <x:v>3.80223132133859</x:v>
      </x:c>
      <x:c r="I177" s="267" t="n">
        <x:f>F177*H177</x:f>
        <x:v>0.29008536700571946</x:v>
      </x:c>
    </x:row>
    <x:row r="178">
      <x:c r="A178" s="240" t="n">
        <x:v>2024</x:v>
      </x:c>
      <x:c r="B178" s="240" t="str">
        <x:v>Minería</x:v>
      </x:c>
      <x:c r="C178" s="298" t="n">
        <x:v>134302</x:v>
      </x:c>
      <x:c r="D178" s="270" t="n">
        <x:f>C178/SUMIF($A$6:$A$185,A178,$C$6:$C$185)</x:f>
        <x:v>0.04456882379216304</x:v>
      </x:c>
      <x:c r="E178" s="270" t="n">
        <x:f>(D178+D169)/2</x:f>
        <x:v>0.049235875317586345</x:v>
      </x:c>
      <x:c r="F178" s="264" t="n">
        <x:v>0.04923587531758655</x:v>
      </x:c>
      <x:c r="G178" s="304" t="n">
        <x:f>(F178-E178)*100</x:f>
        <x:v>2.0816681711721685e-14</x:v>
      </x:c>
      <x:c r="H178" s="261" t="n">
        <x:v>-2.330699844728882</x:v>
      </x:c>
      <x:c r="I178" s="269" t="n">
        <x:f>F178*H178</x:f>
        <x:v>-0.11475404695778957</x:v>
      </x:c>
    </x:row>
    <x:row r="179">
      <x:c r="A179" s="258" t="n">
        <x:v>2024</x:v>
      </x:c>
      <x:c r="B179" s="258" t="str">
        <x:v>Manufactura</x:v>
      </x:c>
      <x:c r="C179" s="297" t="n">
        <x:v>625941</x:v>
      </x:c>
      <x:c r="D179" s="268" t="n">
        <x:f>C179/SUMIF($A$6:$A$185,A179,$C$6:$C$185)</x:f>
        <x:v>0.20772180707130442</x:v>
      </x:c>
      <x:c r="E179" s="268" t="n">
        <x:f>(D179+D170)/2</x:f>
        <x:v>0.21300869643122672</x:v>
      </x:c>
      <x:c r="F179" s="263" t="n">
        <x:v>0.21300869643122544</x:v>
      </x:c>
      <x:c r="G179" s="303" t="n">
        <x:f>(F179-E179)*100</x:f>
        <x:v>-1.27675647831893e-13</x:v>
      </x:c>
      <x:c r="H179" s="260" t="n">
        <x:v>-1.195620071694396</x:v>
      </x:c>
      <x:c r="I179" s="267" t="n">
        <x:f>F179*H179</x:f>
        <x:v>-0.25467747289863163</x:v>
      </x:c>
    </x:row>
    <x:row r="180">
      <x:c r="A180" s="240" t="n">
        <x:v>2024</x:v>
      </x:c>
      <x:c r="B180" s="240" t="str">
        <x:v>Servicios públicos</x:v>
      </x:c>
      <x:c r="C180" s="298" t="n">
        <x:v>138690</x:v>
      </x:c>
      <x:c r="D180" s="270" t="n">
        <x:f>C180/SUMIF($A$6:$A$185,A180,$C$6:$C$185)</x:f>
        <x:v>0.046025004629380736</x:v>
      </x:c>
      <x:c r="E180" s="270" t="n">
        <x:f>(D180+D171)/2</x:f>
        <x:v>0.044405534512780453</x:v>
      </x:c>
      <x:c r="F180" s="264" t="n">
        <x:v>0.04440553451277984</x:v>
      </x:c>
      <x:c r="G180" s="304" t="n">
        <x:f>(F180-E180)*100</x:f>
        <x:v>-6.106226635438361e-14</x:v>
      </x:c>
      <x:c r="H180" s="261" t="n">
        <x:v>0.9377115268507139</x:v>
      </x:c>
      <x:c r="I180" s="269" t="n">
        <x:f>F180*H180</x:f>
        <x:v>0.041639581568600856</x:v>
      </x:c>
    </x:row>
    <x:row r="181">
      <x:c r="A181" s="258" t="n">
        <x:v>2024</x:v>
      </x:c>
      <x:c r="B181" s="258" t="str">
        <x:v>Construcción</x:v>
      </x:c>
      <x:c r="C181" s="297" t="n">
        <x:v>200587</x:v>
      </x:c>
      <x:c r="D181" s="268" t="n">
        <x:f>C181/SUMIF($A$6:$A$185,A181,$C$6:$C$185)</x:f>
        <x:v>0.0665658490417016</x:v>
      </x:c>
      <x:c r="E181" s="268" t="n">
        <x:f>(D181+D172)/2</x:f>
        <x:v>0.0659933529836244</x:v>
      </x:c>
      <x:c r="F181" s="263" t="n">
        <x:v>0.06599335298362496</x:v>
      </x:c>
      <x:c r="G181" s="303" t="n">
        <x:f>(F181-E181)*100</x:f>
        <x:v>5.689893001203927e-14</x:v>
      </x:c>
      <x:c r="H181" s="260" t="n">
        <x:v>0.5336129650584118</x:v>
      </x:c>
      <x:c r="I181" s="267" t="n">
        <x:f>F181*H181</x:f>
        <x:v>0.035214908759738504</x:v>
      </x:c>
    </x:row>
    <x:row r="182">
      <x:c r="A182" s="240" t="n">
        <x:v>2024</x:v>
      </x:c>
      <x:c r="B182" s="240" t="str">
        <x:v>Comercio y hotelería</x:v>
      </x:c>
      <x:c r="C182" s="298" t="n">
        <x:v>463741</x:v>
      </x:c>
      <x:c r="D182" s="270" t="n">
        <x:f>C182/SUMIF($A$6:$A$185,A182,$C$6:$C$185)</x:f>
        <x:v>0.15389488551325728</x:v>
      </x:c>
      <x:c r="E182" s="270" t="n">
        <x:f>(D182+D173)/2</x:f>
        <x:v>0.15443624525810756</x:v>
      </x:c>
      <x:c r="F182" s="264" t="n">
        <x:v>0.15443624525810828</x:v>
      </x:c>
      <x:c r="G182" s="304" t="n">
        <x:f>(F182-E182)*100</x:f>
        <x:v>7.216449660063518e-14</x:v>
      </x:c>
      <x:c r="H182" s="261" t="n">
        <x:v>-0.09326703363218547</x:v>
      </x:c>
      <x:c r="I182" s="269" t="n">
        <x:f>F182*H182</x:f>
        <x:v>-0.01440381048051643</x:v>
      </x:c>
    </x:row>
    <x:row r="183">
      <x:c r="A183" s="258" t="n">
        <x:v>2024</x:v>
      </x:c>
      <x:c r="B183" s="258" t="str">
        <x:v>Transporte y comunicaciones</x:v>
      </x:c>
      <x:c r="C183" s="297" t="n">
        <x:v>240640</x:v>
      </x:c>
      <x:c r="D183" s="268" t="n">
        <x:f>C183/SUMIF($A$6:$A$185,A183,$C$6:$C$185)</x:f>
        <x:v>0.07985764737193872</x:v>
      </x:c>
      <x:c r="E183" s="268" t="n">
        <x:f>(D183+D174)/2</x:f>
        <x:v>0.08032696870413888</x:v>
      </x:c>
      <x:c r="F183" s="263" t="n">
        <x:v>0.08032696870413869</x:v>
      </x:c>
      <x:c r="G183" s="303" t="n">
        <x:f>(F183-E183)*100</x:f>
        <x:v>-1.942890293094024e-14</x:v>
      </x:c>
      <x:c r="H183" s="260" t="n">
        <x:v>1.149510533655444</x:v>
      </x:c>
      <x:c r="I183" s="267" t="n">
        <x:f>F183*H183</x:f>
        <x:v>0.09233669666201862</x:v>
      </x:c>
    </x:row>
    <x:row r="184">
      <x:c r="A184" s="240" t="n">
        <x:v>2024</x:v>
      </x:c>
      <x:c r="B184" s="240" t="str">
        <x:v>Financieras</x:v>
      </x:c>
      <x:c r="C184" s="298" t="n">
        <x:v>418982</x:v>
      </x:c>
      <x:c r="D184" s="270" t="n">
        <x:f>C184/SUMIF($A$6:$A$185,A184,$C$6:$C$185)</x:f>
        <x:v>0.1390413763762867</x:v>
      </x:c>
      <x:c r="E184" s="270" t="n">
        <x:f>(D184+D175)/2</x:f>
        <x:v>0.13716467111723996</x:v>
      </x:c>
      <x:c r="F184" s="264" t="n">
        <x:v>0.1371646711172403</x:v>
      </x:c>
      <x:c r="G184" s="304" t="n">
        <x:f>(F184-E184)*100</x:f>
        <x:v>3.3306690738754696e-14</x:v>
      </x:c>
      <x:c r="H184" s="261" t="n">
        <x:v>0.4076931953080921</x:v>
      </x:c>
      <x:c r="I184" s="269" t="n">
        <x:f>F184*H184</x:f>
        <x:v>0.05592110305117127</x:v>
      </x:c>
    </x:row>
    <x:row r="185">
      <x:c r="A185" s="258" t="n">
        <x:v>2024</x:v>
      </x:c>
      <x:c r="B185" s="258" t="str">
        <x:v>Servicios sociales y personales</x:v>
      </x:c>
      <x:c r="C185" s="297" t="n">
        <x:v>554813</x:v>
      </x:c>
      <x:c r="D185" s="268" t="n">
        <x:f>C185/SUMIF($A$6:$A$185,A185,$C$6:$C$185)</x:f>
        <x:v>0.18411760684577558</x:v>
      </x:c>
      <x:c r="E185" s="268" t="n">
        <x:f>(D185+D176)/2</x:f>
        <x:v>0.17913519994109955</x:v>
      </x:c>
      <x:c r="F185" s="263" t="n">
        <x:v>0.17913519994109964</x:v>
      </x:c>
      <x:c r="G185" s="303" t="n">
        <x:f>(F185-E185)*100</x:f>
        <x:v>8.326672684688674e-15</x:v>
      </x:c>
      <x:c r="H185" s="260" t="n">
        <x:v>2.744973157275121</x:v>
      </x:c>
      <x:c r="I185" s="267" t="n">
        <x:f>F185*H185</x:f>
        <x:v>0.4917213153614303</x:v>
      </x:c>
    </x:row>
  </x:sheetData>
  <x:mergeCells>
    <x:mergeCell ref="A1:M1"/>
    <x:mergeCell ref="A2:M2"/>
  </x:mergeCells>
  <x:conditionalFormatting sqref="I6:I185">
    <x:cfRule type="cellIs" dxfId="2" priority="1" operator="lessThan">
      <x:formula>0</x:formula>
    </x:cfRule>
    <x:cfRule type="cellIs" dxfId="3" priority="2" operator="greaterThan">
      <x:formula>0</x:formula>
    </x:cfRule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299991607666" hidden="0" customWidth="1"/>
    <x:col min="2" max="2" width="13.75" hidden="0" customWidth="1"/>
    <x:col min="3" max="3" width="16.8799991607666" hidden="0" customWidth="1"/>
    <x:col min="4" max="4" width="15" hidden="0" customWidth="1"/>
    <x:col min="5" max="5" width="15.630000114440918" hidden="0" customWidth="1"/>
    <x:col min="6" max="6" width="15.630000114440918" hidden="0" customWidth="1"/>
    <x:col min="7" max="7" width="10" hidden="0" customWidth="1"/>
    <x:col min="8" max="8" width="2.5" hidden="0" customWidth="1"/>
    <x:col min="9" max="9" width="26.8799991607666" hidden="0" customWidth="1"/>
    <x:col min="10" max="10" width="11.880000114440918" hidden="0" customWidth="1"/>
    <x:col min="11" max="11" width="14.380000114440918" hidden="0" customWidth="1"/>
    <x:col min="12" max="12" width="13.75" hidden="0" customWidth="1"/>
    <x:col min="13" max="13" width="2.5" hidden="0" customWidth="1"/>
    <x:col min="14" max="14" width="8.130000114440918" hidden="0" customWidth="1"/>
    <x:col min="15" max="15" width="15" hidden="0" customWidth="1"/>
    <x:col min="16" max="16" width="16.25" hidden="0" customWidth="1"/>
    <x:col min="17" max="17" width="13.130000114440918" hidden="0" customWidth="1"/>
  </x:cols>
  <x:sheetData>
    <x:row r="1" ht="25.5" customHeight="1">
      <x:c r="A1" s="224" t="str">
        <x:v>Contribuciones de las actividades a la PTF y al crecimiento de la producción</x:v>
      </x:c>
      <x:c r="B1" s="224"/>
      <x:c r="C1" s="224"/>
      <x:c r="D1" s="224"/>
      <x:c r="E1" s="224"/>
      <x:c r="F1" s="224"/>
      <x:c r="G1" s="224"/>
      <x:c r="H1" s="224"/>
      <x:c r="I1" s="224"/>
      <x:c r="J1" s="224"/>
      <x:c r="K1" s="224"/>
      <x:c r="L1" s="224"/>
      <x:c r="M1" s="224"/>
      <x:c r="N1" s="224"/>
      <x:c r="O1" s="224"/>
      <x:c r="P1" s="224"/>
      <x:c r="Q1" s="224"/>
    </x:row>
    <x:row r="2" ht="22.5" customHeight="1">
      <x:c r="A2" s="228" t="str">
        <x:v>La contribución anual es el peso implícito exacto multiplicado por la tasa de crecimiento de la PTF de cada actividad. Las nueve contribuciones suman la PTF total.</x:v>
      </x:c>
      <x:c r="B2" s="228"/>
      <x:c r="C2" s="228"/>
      <x:c r="D2" s="228"/>
      <x:c r="E2" s="228"/>
      <x:c r="F2" s="228"/>
      <x:c r="G2" s="228"/>
      <x:c r="H2" s="228"/>
      <x:c r="I2" s="228"/>
      <x:c r="J2" s="228"/>
      <x:c r="K2" s="228"/>
      <x:c r="L2" s="228"/>
      <x:c r="M2" s="228"/>
      <x:c r="N2" s="228"/>
      <x:c r="O2" s="228"/>
      <x:c r="P2" s="228"/>
      <x:c r="Q2" s="228"/>
    </x:row>
    <x:row r="5" ht="25.5" customHeight="1">
      <x:c r="A5" s="234" t="str">
        <x:v>Actividad</x:v>
      </x:c>
      <x:c r="B5" s="234" t="str">
        <x:v>Peso promedio (%)</x:v>
      </x:c>
      <x:c r="C5" s="234" t="str">
        <x:v>Crecimiento acumulado PTF (%)</x:v>
      </x:c>
      <x:c r="D5" s="234" t="str">
        <x:v>Tasa anualizada PTF (%)</x:v>
      </x:c>
      <x:c r="E5" s="234" t="str">
        <x:v>Contribución acumulada (pp)</x:v>
      </x:c>
      <x:c r="F5" s="234" t="str">
        <x:v>Contribución anualizada (pp)</x:v>
      </x:c>
      <x:c r="G5" s="234" t="str">
        <x:v>Signo</x:v>
      </x:c>
      <x:c r="I5" s="234" t="str">
        <x:v>Paso de la cascada</x:v>
      </x:c>
      <x:c r="J5" s="234" t="str">
        <x:v>Tipo</x:v>
      </x:c>
      <x:c r="K5" s="234" t="str">
        <x:v>Aporte/nivel (pp)</x:v>
      </x:c>
      <x:c r="L5" s="234" t="str">
        <x:v>Resultado (%)</x:v>
      </x:c>
      <x:c r="N5" s="234" t="str">
        <x:v>Año</x:v>
      </x:c>
      <x:c r="O5" s="234" t="str">
        <x:v>Producción total (%)</x:v>
      </x:c>
      <x:c r="P5" s="234" t="str">
        <x:v>Contribución factores (pp)</x:v>
      </x:c>
      <x:c r="Q5" s="234" t="str">
        <x:v>PTF total (%)</x:v>
      </x:c>
    </x:row>
    <x:row r="6">
      <x:c r="A6" s="239" t="str">
        <x:v>Agropecuario</x:v>
      </x:c>
      <x:c r="B6" s="266" t="n">
        <x:f>AVERAGEIF('CJC Pesos VBP'!$B$6:$B$185,A6,'CJC Pesos VBP'!$F$6:$F$185)</x:f>
        <x:v>0.06111395756281176</x:v>
      </x:c>
      <x:c r="C6" s="266" t="n">
        <x:f>'CJC PTF actividad'!N13</x:f>
        <x:v>0.21842316702846487</x:v>
      </x:c>
      <x:c r="D6" s="265" t="n">
        <x:f>'CJC PTF actividad'!O13</x:f>
        <x:v>0.98778768361216</x:v>
      </x:c>
      <x:c r="E6" s="265" t="n">
        <x:f>SUMIF('CJC Pesos VBP'!$B$6:$B$185,A6,'CJC Pesos VBP'!$I$6:$I$185)</x:f>
        <x:v>1.1267876757884907</x:v>
      </x:c>
      <x:c r="F6" s="265" t="n">
        <x:f>AVERAGEIF('CJC Pesos VBP'!$B$6:$B$185,A6,'CJC Pesos VBP'!$I$6:$I$185)</x:f>
        <x:v>0.05633938378942453</x:v>
      </x:c>
      <x:c r="G6" s="306" t="str">
        <x:f>IF(F6&lt;0,"Negativa","Positiva")</x:f>
        <x:v>Positiva</x:v>
      </x:c>
      <x:c r="I6" s="239" t="str">
        <x:v>Crecimiento sin PTF</x:v>
      </x:c>
      <x:c r="J6" s="239" t="str">
        <x:v>Total</x:v>
      </x:c>
      <x:c r="K6" s="265" t="n">
        <x:f>AVERAGE(P6:P25)</x:f>
        <x:v>3.3313384364473335</x:v>
      </x:c>
      <x:c r="L6" s="265" t="n">
        <x:f>K6</x:f>
        <x:v>3.3313384364473335</x:v>
      </x:c>
      <x:c r="N6" s="253" t="n">
        <x:v>2005</x:v>
      </x:c>
      <x:c r="O6" s="313" t="n">
        <x:v>5.266710463048241</x:v>
      </x:c>
      <x:c r="P6" s="313" t="n">
        <x:v>5.193499112788782</x:v>
      </x:c>
      <x:c r="Q6" s="313" t="n">
        <x:v>0.07321135025945857</x:v>
      </x:c>
    </x:row>
    <x:row r="7">
      <x:c r="A7" s="258" t="str">
        <x:v>Minería</x:v>
      </x:c>
      <x:c r="B7" s="268" t="n">
        <x:f>AVERAGEIF('CJC Pesos VBP'!$B$6:$B$185,A7,'CJC Pesos VBP'!$F$6:$F$185)</x:f>
        <x:v>0.060812389672152134</x:v>
      </x:c>
      <x:c r="C7" s="268" t="n">
        <x:f>'CJC PTF actividad'!N6</x:f>
        <x:v>-0.3208605180394799</x:v>
      </x:c>
      <x:c r="D7" s="267" t="n">
        <x:f>'CJC PTF actividad'!O6</x:f>
        <x:v>-1.9346437494875537</x:v>
      </x:c>
      <x:c r="E7" s="267" t="n">
        <x:f>SUMIF('CJC Pesos VBP'!$B$6:$B$185,A7,'CJC Pesos VBP'!$I$6:$I$185)</x:f>
        <x:v>-2.296744876229911</x:v>
      </x:c>
      <x:c r="F7" s="267" t="n">
        <x:f>AVERAGEIF('CJC Pesos VBP'!$B$6:$B$185,A7,'CJC Pesos VBP'!$I$6:$I$185)</x:f>
        <x:v>-0.11483724381149556</x:v>
      </x:c>
      <x:c r="G7" s="307" t="str">
        <x:f>IF(F7&lt;0,"Negativa","Positiva")</x:f>
        <x:v>Negativa</x:v>
      </x:c>
      <x:c r="I7" s="240" t="str">
        <x:v>Agropecuario</x:v>
      </x:c>
      <x:c r="J7" s="240" t="str">
        <x:v>Aumento</x:v>
      </x:c>
      <x:c r="K7" s="269" t="n">
        <x:f>F6</x:f>
        <x:v>0.05633938378942453</x:v>
      </x:c>
      <x:c r="L7" s="269" t="n">
        <x:f>L6+K7</x:f>
        <x:v>3.387677820236758</x:v>
      </x:c>
      <x:c r="N7" s="311" t="n">
        <x:v>2006</x:v>
      </x:c>
      <x:c r="O7" s="314" t="n">
        <x:v>6.538878085128862</x:v>
      </x:c>
      <x:c r="P7" s="314" t="n">
        <x:v>4.3328816737205385</x:v>
      </x:c>
      <x:c r="Q7" s="314" t="n">
        <x:v>2.205996411408322</x:v>
      </x:c>
    </x:row>
    <x:row r="8">
      <x:c r="A8" s="240" t="str">
        <x:v>Manufactura</x:v>
      </x:c>
      <x:c r="B8" s="270" t="n">
        <x:f>AVERAGEIF('CJC Pesos VBP'!$B$6:$B$185,A8,'CJC Pesos VBP'!$F$6:$F$185)</x:f>
        <x:v>0.23426094631934918</x:v>
      </x:c>
      <x:c r="C8" s="270" t="n">
        <x:f>'CJC PTF actividad'!N10</x:f>
        <x:v>-0.05151134514979072</x:v>
      </x:c>
      <x:c r="D8" s="269" t="n">
        <x:f>'CJC PTF actividad'!O10</x:f>
        <x:v>-0.26442725413783064</x:v>
      </x:c>
      <x:c r="E8" s="269" t="n">
        <x:f>SUMIF('CJC Pesos VBP'!$B$6:$B$185,A8,'CJC Pesos VBP'!$I$6:$I$185)</x:f>
        <x:v>-1.155420761421892</x:v>
      </x:c>
      <x:c r="F8" s="269" t="n">
        <x:f>AVERAGEIF('CJC Pesos VBP'!$B$6:$B$185,A8,'CJC Pesos VBP'!$I$6:$I$185)</x:f>
        <x:v>-0.057771038071094606</x:v>
      </x:c>
      <x:c r="G8" s="254" t="str">
        <x:f>IF(F8&lt;0,"Negativa","Positiva")</x:f>
        <x:v>Negativa</x:v>
      </x:c>
      <x:c r="I8" s="240" t="str">
        <x:v>Comercio y hotelería</x:v>
      </x:c>
      <x:c r="J8" s="240" t="str">
        <x:v>Aumento</x:v>
      </x:c>
      <x:c r="K8" s="269" t="n">
        <x:f>F11</x:f>
        <x:v>0.13011706667735695</x:v>
      </x:c>
      <x:c r="L8" s="269" t="n">
        <x:f>L7+K8</x:f>
        <x:v>3.517794886914115</x:v>
      </x:c>
      <x:c r="N8" s="312" t="n">
        <x:v>2007</x:v>
      </x:c>
      <x:c r="O8" s="315" t="n">
        <x:v>6.108052561914324</x:v>
      </x:c>
      <x:c r="P8" s="315" t="n">
        <x:v>7.494803973233844</x:v>
      </x:c>
      <x:c r="Q8" s="315" t="n">
        <x:v>-1.386751411319521</x:v>
      </x:c>
    </x:row>
    <x:row r="9">
      <x:c r="A9" s="258" t="str">
        <x:v>Servicios públicos</x:v>
      </x:c>
      <x:c r="B9" s="268" t="n">
        <x:f>AVERAGEIF('CJC Pesos VBP'!$B$6:$B$185,A9,'CJC Pesos VBP'!$F$6:$F$185)</x:f>
        <x:v>0.034241988123536855</x:v>
      </x:c>
      <x:c r="C9" s="268" t="n">
        <x:f>'CJC PTF actividad'!N9</x:f>
        <x:v>-0.05527701252750761</x:v>
      </x:c>
      <x:c r="D9" s="267" t="n">
        <x:f>'CJC PTF actividad'!O9</x:f>
        <x:v>-0.2843176470529272</x:v>
      </x:c>
      <x:c r="E9" s="267" t="n">
        <x:f>SUMIF('CJC Pesos VBP'!$B$6:$B$185,A9,'CJC Pesos VBP'!$I$6:$I$185)</x:f>
        <x:v>-0.15837897964723918</x:v>
      </x:c>
      <x:c r="F9" s="267" t="n">
        <x:f>AVERAGEIF('CJC Pesos VBP'!$B$6:$B$185,A9,'CJC Pesos VBP'!$I$6:$I$185)</x:f>
        <x:v>-0.00791894898236196</x:v>
      </x:c>
      <x:c r="G9" s="307" t="str">
        <x:f>IF(F9&lt;0,"Negativa","Positiva")</x:f>
        <x:v>Negativa</x:v>
      </x:c>
      <x:c r="I9" s="240" t="str">
        <x:v>Transporte y comunicaciones</x:v>
      </x:c>
      <x:c r="J9" s="240" t="str">
        <x:v>Aumento</x:v>
      </x:c>
      <x:c r="K9" s="269" t="n">
        <x:f>F12</x:f>
        <x:v>0.016957551893450863</x:v>
      </x:c>
      <x:c r="L9" s="269" t="n">
        <x:f>L8+K9</x:f>
        <x:v>3.534752438807566</x:v>
      </x:c>
      <x:c r="N9" s="311" t="n">
        <x:v>2008</x:v>
      </x:c>
      <x:c r="O9" s="314" t="n">
        <x:v>3.536170098948586</x:v>
      </x:c>
      <x:c r="P9" s="314" t="n">
        <x:v>4.3386868051958505</x:v>
      </x:c>
      <x:c r="Q9" s="314" t="n">
        <x:v>-0.8025167062472658</x:v>
      </x:c>
    </x:row>
    <x:row r="10">
      <x:c r="A10" s="240" t="str">
        <x:v>Construcción</x:v>
      </x:c>
      <x:c r="B10" s="270" t="n">
        <x:f>AVERAGEIF('CJC Pesos VBP'!$B$6:$B$185,A10,'CJC Pesos VBP'!$F$6:$F$185)</x:f>
        <x:v>0.08642956894925555</x:v>
      </x:c>
      <x:c r="C10" s="270" t="n">
        <x:f>'CJC PTF actividad'!N8</x:f>
        <x:v>-0.11061697930961334</x:v>
      </x:c>
      <x:c r="D10" s="269" t="n">
        <x:f>'CJC PTF actividad'!O8</x:f>
        <x:v>-0.5861364591695346</x:v>
      </x:c>
      <x:c r="E10" s="269" t="n">
        <x:f>SUMIF('CJC Pesos VBP'!$B$6:$B$185,A10,'CJC Pesos VBP'!$I$6:$I$185)</x:f>
        <x:v>-1.0812249248631698</x:v>
      </x:c>
      <x:c r="F10" s="269" t="n">
        <x:f>AVERAGEIF('CJC Pesos VBP'!$B$6:$B$185,A10,'CJC Pesos VBP'!$I$6:$I$185)</x:f>
        <x:v>-0.05406124624315849</x:v>
      </x:c>
      <x:c r="G10" s="254" t="str">
        <x:f>IF(F10&lt;0,"Negativa","Positiva")</x:f>
        <x:v>Negativa</x:v>
      </x:c>
      <x:c r="I10" s="240" t="str">
        <x:v>Servicios sociales y personales</x:v>
      </x:c>
      <x:c r="J10" s="240" t="str">
        <x:v>Aumento</x:v>
      </x:c>
      <x:c r="K10" s="269" t="n">
        <x:f>F14</x:f>
        <x:v>0.11199169960367708</x:v>
      </x:c>
      <x:c r="L10" s="269" t="n">
        <x:f>L9+K10</x:f>
        <x:v>3.646744138411243</x:v>
      </x:c>
      <x:c r="N10" s="312" t="n">
        <x:v>2009</x:v>
      </x:c>
      <x:c r="O10" s="315" t="n">
        <x:v>0.2090175902593837</x:v>
      </x:c>
      <x:c r="P10" s="315" t="n">
        <x:v>0.776871032072586</x:v>
      </x:c>
      <x:c r="Q10" s="315" t="n">
        <x:v>-0.5678534418132021</x:v>
      </x:c>
    </x:row>
    <x:row r="11">
      <x:c r="A11" s="258" t="str">
        <x:v>Comercio y hotelería</x:v>
      </x:c>
      <x:c r="B11" s="268" t="n">
        <x:f>AVERAGEIF('CJC Pesos VBP'!$B$6:$B$185,A11,'CJC Pesos VBP'!$F$6:$F$185)</x:f>
        <x:v>0.12975852179698788</x:v>
      </x:c>
      <x:c r="C11" s="268" t="n">
        <x:f>'CJC PTF actividad'!N14</x:f>
        <x:v>0.23168807026714955</x:v>
      </x:c>
      <x:c r="D11" s="267" t="n">
        <x:f>'CJC PTF actividad'!O14</x:f>
        <x:v>1.0419282166758854</x:v>
      </x:c>
      <x:c r="E11" s="267" t="n">
        <x:f>SUMIF('CJC Pesos VBP'!$B$6:$B$185,A11,'CJC Pesos VBP'!$I$6:$I$185)</x:f>
        <x:v>2.602341333547139</x:v>
      </x:c>
      <x:c r="F11" s="267" t="n">
        <x:f>AVERAGEIF('CJC Pesos VBP'!$B$6:$B$185,A11,'CJC Pesos VBP'!$I$6:$I$185)</x:f>
        <x:v>0.13011706667735695</x:v>
      </x:c>
      <x:c r="G11" s="307" t="str">
        <x:f>IF(F11&lt;0,"Negativa","Positiva")</x:f>
        <x:v>Positiva</x:v>
      </x:c>
      <x:c r="I11" s="309" t="str">
        <x:v>Contrafactual sin PTF negativa</x:v>
      </x:c>
      <x:c r="J11" s="309" t="str">
        <x:v>Total</x:v>
      </x:c>
      <x:c r="K11" s="310" t="n">
        <x:f>L10</x:f>
        <x:v>3.646744138411243</x:v>
      </x:c>
      <x:c r="L11" s="310" t="n">
        <x:f>K11</x:f>
        <x:v>3.646744138411243</x:v>
      </x:c>
      <x:c r="N11" s="311" t="n">
        <x:v>2010</x:v>
      </x:c>
      <x:c r="O11" s="314" t="n">
        <x:v>3.896883927467329</x:v>
      </x:c>
      <x:c r="P11" s="314" t="n">
        <x:v>4.826468480612293</x:v>
      </x:c>
      <x:c r="Q11" s="314" t="n">
        <x:v>-0.929584553144964</x:v>
      </x:c>
    </x:row>
    <x:row r="12">
      <x:c r="A12" s="240" t="str">
        <x:v>Transporte y comunicaciones</x:v>
      </x:c>
      <x:c r="B12" s="270" t="n">
        <x:f>AVERAGEIF('CJC Pesos VBP'!$B$6:$B$185,A12,'CJC Pesos VBP'!$F$6:$F$185)</x:f>
        <x:v>0.08630724234416062</x:v>
      </x:c>
      <x:c r="C12" s="270" t="n">
        <x:f>'CJC PTF actividad'!N11</x:f>
        <x:v>0.042583650298000375</x:v>
      </x:c>
      <x:c r="D12" s="269" t="n">
        <x:f>'CJC PTF actividad'!O11</x:f>
        <x:v>0.20850955782880237</x:v>
      </x:c>
      <x:c r="E12" s="269" t="n">
        <x:f>SUMIF('CJC Pesos VBP'!$B$6:$B$185,A12,'CJC Pesos VBP'!$I$6:$I$185)</x:f>
        <x:v>0.33915103786901724</x:v>
      </x:c>
      <x:c r="F12" s="269" t="n">
        <x:f>AVERAGEIF('CJC Pesos VBP'!$B$6:$B$185,A12,'CJC Pesos VBP'!$I$6:$I$185)</x:f>
        <x:v>0.016957551893450863</x:v>
      </x:c>
      <x:c r="G12" s="254" t="str">
        <x:f>IF(F12&lt;0,"Negativa","Positiva")</x:f>
        <x:v>Positiva</x:v>
      </x:c>
      <x:c r="I12" s="240" t="str">
        <x:v>Servicios públicos</x:v>
      </x:c>
      <x:c r="J12" s="240" t="str">
        <x:v>Disminución</x:v>
      </x:c>
      <x:c r="K12" s="269" t="n">
        <x:f>F9</x:f>
        <x:v>-0.00791894898236196</x:v>
      </x:c>
      <x:c r="L12" s="269" t="n">
        <x:f>L11+K12</x:f>
        <x:v>3.638825189428881</x:v>
      </x:c>
      <x:c r="N12" s="312" t="n">
        <x:v>2011</x:v>
      </x:c>
      <x:c r="O12" s="315" t="n">
        <x:v>6.400132043518472</x:v>
      </x:c>
      <x:c r="P12" s="315" t="n">
        <x:v>6.124883392279787</x:v>
      </x:c>
      <x:c r="Q12" s="315" t="n">
        <x:v>0.2752486512386846</x:v>
      </x:c>
    </x:row>
    <x:row r="13">
      <x:c r="A13" s="258" t="str">
        <x:v>Financieras</x:v>
      </x:c>
      <x:c r="B13" s="268" t="n">
        <x:f>AVERAGEIF('CJC Pesos VBP'!$B$6:$B$185,A13,'CJC Pesos VBP'!$F$6:$F$185)</x:f>
        <x:v>0.14659333605246344</x:v>
      </x:c>
      <x:c r="C13" s="268" t="n">
        <x:f>'CJC PTF actividad'!N7</x:f>
        <x:v>-0.19008198002888832</x:v>
      </x:c>
      <x:c r="D13" s="267" t="n">
        <x:f>'CJC PTF actividad'!O7</x:f>
        <x:v>-1.0541112317496437</x:v>
      </x:c>
      <x:c r="E13" s="267" t="n">
        <x:f>SUMIF('CJC Pesos VBP'!$B$6:$B$185,A13,'CJC Pesos VBP'!$I$6:$I$185)</x:f>
        <x:v>-3.078395190901746</x:v>
      </x:c>
      <x:c r="F13" s="267" t="n">
        <x:f>AVERAGEIF('CJC Pesos VBP'!$B$6:$B$185,A13,'CJC Pesos VBP'!$I$6:$I$185)</x:f>
        <x:v>-0.1539197595450873</x:v>
      </x:c>
      <x:c r="G13" s="307" t="str">
        <x:f>IF(F13&lt;0,"Negativa","Positiva")</x:f>
        <x:v>Negativa</x:v>
      </x:c>
      <x:c r="I13" s="240" t="str">
        <x:v>Construcción</x:v>
      </x:c>
      <x:c r="J13" s="240" t="str">
        <x:v>Disminución</x:v>
      </x:c>
      <x:c r="K13" s="269" t="n">
        <x:f>F10</x:f>
        <x:v>-0.05406124624315849</x:v>
      </x:c>
      <x:c r="L13" s="269" t="n">
        <x:f>L12+K13</x:f>
        <x:v>3.584763943185722</x:v>
      </x:c>
      <x:c r="N13" s="311" t="n">
        <x:v>2012</x:v>
      </x:c>
      <x:c r="O13" s="314" t="n">
        <x:v>3.294319422660301</x:v>
      </x:c>
      <x:c r="P13" s="314" t="n">
        <x:v>3.4522943920066655</x:v>
      </x:c>
      <x:c r="Q13" s="314" t="n">
        <x:v>-0.1579749693463642</x:v>
      </x:c>
    </x:row>
    <x:row r="14">
      <x:c r="A14" s="240" t="str">
        <x:v>Servicios sociales y personales</x:v>
      </x:c>
      <x:c r="B14" s="270" t="n">
        <x:f>AVERAGEIF('CJC Pesos VBP'!$B$6:$B$185,A14,'CJC Pesos VBP'!$F$6:$F$185)</x:f>
        <x:v>0.16048204917928272</x:v>
      </x:c>
      <x:c r="C14" s="270" t="n">
        <x:f>'CJC PTF actividad'!N12</x:f>
        <x:v>0.14156831094000788</x:v>
      </x:c>
      <x:c r="D14" s="269" t="n">
        <x:f>'CJC PTF actividad'!O12</x:f>
        <x:v>0.6620151416670758</x:v>
      </x:c>
      <x:c r="E14" s="269" t="n">
        <x:f>SUMIF('CJC Pesos VBP'!$B$6:$B$185,A14,'CJC Pesos VBP'!$I$6:$I$185)</x:f>
        <x:v>2.2398339920735415</x:v>
      </x:c>
      <x:c r="F14" s="269" t="n">
        <x:f>AVERAGEIF('CJC Pesos VBP'!$B$6:$B$185,A14,'CJC Pesos VBP'!$I$6:$I$185)</x:f>
        <x:v>0.11199169960367708</x:v>
      </x:c>
      <x:c r="G14" s="254" t="str">
        <x:f>IF(F14&lt;0,"Negativa","Positiva")</x:f>
        <x:v>Positiva</x:v>
      </x:c>
      <x:c r="I14" s="240" t="str">
        <x:v>Manufactura</x:v>
      </x:c>
      <x:c r="J14" s="240" t="str">
        <x:v>Disminución</x:v>
      </x:c>
      <x:c r="K14" s="269" t="n">
        <x:f>F8</x:f>
        <x:v>-0.057771038071094606</x:v>
      </x:c>
      <x:c r="L14" s="269" t="n">
        <x:f>L13+K14</x:f>
        <x:v>3.5269929051146276</x:v>
      </x:c>
      <x:c r="N14" s="312" t="n">
        <x:v>2013</x:v>
      </x:c>
      <x:c r="O14" s="315" t="n">
        <x:v>4.763238623685755</x:v>
      </x:c>
      <x:c r="P14" s="315" t="n">
        <x:v>4.456624062860307</x:v>
      </x:c>
      <x:c r="Q14" s="315" t="n">
        <x:v>0.306614560825448</x:v>
      </x:c>
    </x:row>
    <x:row r="15">
      <x:c r="A15" s="277" t="str">
        <x:v>Total de la economía</x:v>
      </x:c>
      <x:c r="B15" s="294" t="n">
        <x:f>1</x:f>
        <x:v>1</x:v>
      </x:c>
      <x:c r="C15" s="294" t="n">
        <x:f>'CJC PTF actividad'!N15</x:f>
        <x:v>-0.014514146306010334</x:v>
      </x:c>
      <x:c r="D15" s="278" t="n">
        <x:f>'CJC PTF actividad'!O15</x:f>
        <x:v>-0.07310253468928843</x:v>
      </x:c>
      <x:c r="E15" s="278" t="n">
        <x:f>SUM(E6:E14)</x:f>
        <x:v>-1.4620506937857698</x:v>
      </x:c>
      <x:c r="F15" s="278" t="n">
        <x:f>SUM(F6:F14)</x:f>
        <x:v>-0.07310253468928848</x:v>
      </x:c>
      <x:c r="G15" s="277" t="str">
        <x:f>IF(F15&lt;0,"Negativa","Positiva")</x:f>
        <x:v>Negativa</x:v>
      </x:c>
      <x:c r="I15" s="240" t="str">
        <x:v>Minería</x:v>
      </x:c>
      <x:c r="J15" s="240" t="str">
        <x:v>Disminución</x:v>
      </x:c>
      <x:c r="K15" s="269" t="n">
        <x:f>F7</x:f>
        <x:v>-0.11483724381149556</x:v>
      </x:c>
      <x:c r="L15" s="269" t="n">
        <x:f>L14+K15</x:f>
        <x:v>3.412155661303132</x:v>
      </x:c>
      <x:c r="N15" s="311" t="n">
        <x:v>2014</x:v>
      </x:c>
      <x:c r="O15" s="314" t="n">
        <x:v>3.738562582352405</x:v>
      </x:c>
      <x:c r="P15" s="314" t="n">
        <x:v>4.439185773598743</x:v>
      </x:c>
      <x:c r="Q15" s="314" t="n">
        <x:v>-0.7006231912463368</x:v>
      </x:c>
    </x:row>
    <x:row r="16">
      <x:c r="I16" s="240" t="str">
        <x:v>Financieras</x:v>
      </x:c>
      <x:c r="J16" s="240" t="str">
        <x:v>Disminución</x:v>
      </x:c>
      <x:c r="K16" s="269" t="n">
        <x:f>F13</x:f>
        <x:v>-0.1539197595450873</x:v>
      </x:c>
      <x:c r="L16" s="269" t="n">
        <x:f>L15+K16</x:f>
        <x:v>3.2582359017580447</x:v>
      </x:c>
      <x:c r="N16" s="312" t="n">
        <x:v>2015</x:v>
      </x:c>
      <x:c r="O16" s="315" t="n">
        <x:v>3.178792758244401</x:v>
      </x:c>
      <x:c r="P16" s="315" t="n">
        <x:v>2.792520597194514</x:v>
      </x:c>
      <x:c r="Q16" s="315" t="n">
        <x:v>0.3862721610498867</x:v>
      </x:c>
    </x:row>
    <x:row r="17">
      <x:c r="I17" s="277" t="str">
        <x:v>Crecimiento observado</x:v>
      </x:c>
      <x:c r="J17" s="277" t="str">
        <x:v>Total</x:v>
      </x:c>
      <x:c r="K17" s="278" t="n">
        <x:f>AVERAGE(O6:O25)</x:f>
        <x:v>3.258235901758045</x:v>
      </x:c>
      <x:c r="L17" s="278" t="n">
        <x:f>K17</x:f>
        <x:v>3.258235901758045</x:v>
      </x:c>
      <x:c r="N17" s="311" t="n">
        <x:v>2016</x:v>
      </x:c>
      <x:c r="O17" s="314" t="n">
        <x:v>1.467999858889725</x:v>
      </x:c>
      <x:c r="P17" s="314" t="n">
        <x:v>2.047248187976482</x:v>
      </x:c>
      <x:c r="Q17" s="314" t="n">
        <x:v>-0.5792483290867567</x:v>
      </x:c>
    </x:row>
    <x:row r="18">
      <x:c r="N18" s="312" t="n">
        <x:v>2017</x:v>
      </x:c>
      <x:c r="O18" s="315" t="n">
        <x:v>0.4200472577350662</x:v>
      </x:c>
      <x:c r="P18" s="315" t="n">
        <x:v>0.30114592145183733</x:v>
      </x:c>
      <x:c r="Q18" s="315" t="n">
        <x:v>0.118901336283229</x:v>
      </x:c>
    </x:row>
    <x:row r="19">
      <x:c r="N19" s="311" t="n">
        <x:v>2018</x:v>
      </x:c>
      <x:c r="O19" s="314" t="n">
        <x:v>2.24346944203088</x:v>
      </x:c>
      <x:c r="P19" s="314" t="n">
        <x:v>2.0883053320852714</x:v>
      </x:c>
      <x:c r="Q19" s="314" t="n">
        <x:v>0.1551641099456086</x:v>
      </x:c>
    </x:row>
    <x:row r="20">
      <x:c r="N20" s="312" t="n">
        <x:v>2019</x:v>
      </x:c>
      <x:c r="O20" s="315" t="n">
        <x:v>2.49828693451361</x:v>
      </x:c>
      <x:c r="P20" s="315" t="n">
        <x:v>2.3537255938463613</x:v>
      </x:c>
      <x:c r="Q20" s="315" t="n">
        <x:v>0.1445613406672486</x:v>
      </x:c>
    </x:row>
    <x:row r="21">
      <x:c r="N21" s="311" t="n">
        <x:v>2020</x:v>
      </x:c>
      <x:c r="O21" s="314" t="n">
        <x:v>-8.554652568163663</x:v>
      </x:c>
      <x:c r="P21" s="314" t="n">
        <x:v>-7.775051683560499</x:v>
      </x:c>
      <x:c r="Q21" s="314" t="n">
        <x:v>-0.7796008846031638</x:v>
      </x:c>
    </x:row>
    <x:row r="22">
      <x:c r="N22" s="312" t="n">
        <x:v>2021</x:v>
      </x:c>
      <x:c r="O22" s="315" t="n">
        <x:v>10.57476198098776</x:v>
      </x:c>
      <x:c r="P22" s="315" t="n">
        <x:v>9.960449362075963</x:v>
      </x:c>
      <x:c r="Q22" s="315" t="n">
        <x:v>0.6143126189117988</x:v>
      </x:c>
    </x:row>
    <x:row r="23">
      <x:c r="N23" s="311" t="n">
        <x:v>2022</x:v>
      </x:c>
      <x:c r="O23" s="314" t="n">
        <x:v>8.048415621681285</x:v>
      </x:c>
      <x:c r="P23" s="314" t="n">
        <x:v>8.003937951593773</x:v>
      </x:c>
      <x:c r="Q23" s="314" t="n">
        <x:v>0.04447767008751363</x:v>
      </x:c>
    </x:row>
    <x:row r="24">
      <x:c r="N24" s="312" t="n">
        <x:v>2023</x:v>
      </x:c>
      <x:c r="O24" s="315" t="n">
        <x:v>0.6911439906250468</x:v>
      </x:c>
      <x:c r="P24" s="315" t="n">
        <x:v>1.1968850503521804</x:v>
      </x:c>
      <x:c r="Q24" s="315" t="n">
        <x:v>-0.5057410597271336</x:v>
      </x:c>
    </x:row>
    <x:row r="25">
      <x:c r="N25" s="311" t="n">
        <x:v>2024</x:v>
      </x:c>
      <x:c r="O25" s="314" t="n">
        <x:v>0.8444873596331464</x:v>
      </x:c>
      <x:c r="P25" s="314" t="n">
        <x:v>0.22140371756140542</x:v>
      </x:c>
      <x:c r="Q25" s="314" t="n">
        <x:v>0.6230836420717408</x:v>
      </x:c>
    </x:row>
  </x:sheetData>
  <x:mergeCells>
    <x:mergeCell ref="A1:Q1"/>
    <x:mergeCell ref="A2:Q2"/>
  </x:mergeCells>
  <x:conditionalFormatting sqref="G6:G15">
    <x:cfRule type="containsText" dxfId="4" priority="1" operator="containsText" text="Negativa"/>
    <x:cfRule type="containsText" dxfId="5" priority="2" operator="containsText" text="Positiva"/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45" hidden="0" customWidth="1"/>
    <x:col min="3" max="3" width="20" hidden="0" customWidth="1"/>
    <x:col min="4" max="4" width="12.5" hidden="0" customWidth="1"/>
    <x:col min="5" max="5" width="45" hidden="0" customWidth="1"/>
    <x:col min="6" max="6" width="12.5" hidden="0" customWidth="1"/>
  </x:cols>
  <x:sheetData>
    <x:row r="1" ht="25.5" customHeight="1">
      <x:c r="A1" s="224" t="str">
        <x:v>Trazabilidad de las figuras del informe</x:v>
      </x:c>
      <x:c r="B1" s="224"/>
      <x:c r="C1" s="224"/>
      <x:c r="D1" s="224"/>
      <x:c r="E1" s="224"/>
      <x:c r="F1" s="224"/>
    </x:row>
    <x:row r="2" ht="22.5" customHeight="1">
      <x:c r="A2" s="228" t="str">
        <x:v>Cada fila identifica el rango que contiene los datos o cálculos usados para construir la figura.</x:v>
      </x:c>
      <x:c r="B2" s="228"/>
      <x:c r="C2" s="228"/>
      <x:c r="D2" s="228"/>
      <x:c r="E2" s="228"/>
      <x:c r="F2" s="228"/>
    </x:row>
    <x:row r="5" ht="25.5" customHeight="1">
      <x:c r="A5" s="234" t="str">
        <x:v>Figura</x:v>
      </x:c>
      <x:c r="B5" s="234" t="str">
        <x:v>Contenido</x:v>
      </x:c>
      <x:c r="C5" s="234" t="str">
        <x:v>Hoja</x:v>
      </x:c>
      <x:c r="D5" s="234" t="str">
        <x:v>Rango</x:v>
      </x:c>
      <x:c r="E5" s="234" t="str">
        <x:v>Cálculo central</x:v>
      </x:c>
      <x:c r="F5" s="234" t="str">
        <x:v>Periodo</x:v>
      </x:c>
    </x:row>
    <x:row r="6">
      <x:c r="A6" s="241" t="str">
        <x:v>Figura 1</x:v>
      </x:c>
      <x:c r="B6" s="241" t="str">
        <x:v>Tasa anual de crecimiento de la PTF del total bajo valor agregado</x:v>
      </x:c>
      <x:c r="C6" s="241" t="str">
        <x:v>CJC VA total</x:v>
      </x:c>
      <x:c r="D6" s="241" t="str">
        <x:v>A5:F26</x:v>
      </x:c>
      <x:c r="E6" s="241" t="str">
        <x:v>Serie anual del DANE; columna F</x:v>
      </x:c>
      <x:c r="F6" s="241" t="str">
        <x:v>2005–2025</x:v>
      </x:c>
    </x:row>
    <x:row r="7">
      <x:c r="A7" s="252" t="str">
        <x:v>Figura 2</x:v>
      </x:c>
      <x:c r="B7" s="252" t="str">
        <x:v>Cascada de la descomposición del crecimiento del valor agregado</x:v>
      </x:c>
      <x:c r="C7" s="252" t="str">
        <x:v>CJC VA total</x:v>
      </x:c>
      <x:c r="D7" s="252" t="str">
        <x:v>O5:R10</x:v>
      </x:c>
      <x:c r="E7" s="252" t="str">
        <x:v>Promedios de trabajo, capital, factores, PTF y VAB</x:v>
      </x:c>
      <x:c r="F7" s="252" t="str">
        <x:v>2005–2025</x:v>
      </x:c>
    </x:row>
    <x:row r="8">
      <x:c r="A8" s="242" t="str">
        <x:v>Figura 3</x:v>
      </x:c>
      <x:c r="B8" s="242" t="str">
        <x:v>Mapa de tasas anuales de PTF por actividad</x:v>
      </x:c>
      <x:c r="C8" s="242" t="str">
        <x:v>CJC PTF actividad</x:v>
      </x:c>
      <x:c r="D8" s="242" t="str">
        <x:v>A5:K25</x:v>
      </x:c>
      <x:c r="E8" s="242" t="str">
        <x:v>20 tasas por actividad y total</x:v>
      </x:c>
      <x:c r="F8" s="242" t="str">
        <x:v>2005–2024</x:v>
      </x:c>
    </x:row>
    <x:row r="9">
      <x:c r="A9" s="252" t="str">
        <x:v>Figura 4</x:v>
      </x:c>
      <x:c r="B9" s="252" t="str">
        <x:v>Crecimiento acumulado y tasa anualizada por actividad</x:v>
      </x:c>
      <x:c r="C9" s="252" t="str">
        <x:v>CJC PTF actividad</x:v>
      </x:c>
      <x:c r="D9" s="252" t="str">
        <x:v>M5:Q15</x:v>
      </x:c>
      <x:c r="E9" s="252" t="str">
        <x:v>Índice encadenado y promedio de tasas logarítmicas</x:v>
      </x:c>
      <x:c r="F9" s="252" t="str">
        <x:v>2004–2024</x:v>
      </x:c>
    </x:row>
    <x:row r="10">
      <x:c r="A10" s="242" t="str">
        <x:v>Figura 5</x:v>
      </x:c>
      <x:c r="B10" s="242" t="str">
        <x:v>Contribuciones acumuladas y anualizadas a la PTF total</x:v>
      </x:c>
      <x:c r="C10" s="242" t="str">
        <x:v>CJC Contribuciones</x:v>
      </x:c>
      <x:c r="D10" s="242" t="str">
        <x:v>A5:G15</x:v>
      </x:c>
      <x:c r="E10" s="242" t="str">
        <x:v>Peso anual × PTF anual; suma y promedio por actividad</x:v>
      </x:c>
      <x:c r="F10" s="242" t="str">
        <x:v>2005–2024</x:v>
      </x:c>
    </x:row>
    <x:row r="11">
      <x:c r="A11" s="252" t="str">
        <x:v>Figura 6</x:v>
      </x:c>
      <x:c r="B11" s="252" t="str">
        <x:v>Cascada desde el crecimiento sin PTF hasta el observado</x:v>
      </x:c>
      <x:c r="C11" s="252" t="str">
        <x:v>CJC Contribuciones</x:v>
      </x:c>
      <x:c r="D11" s="252" t="str">
        <x:v>I5:L17</x:v>
      </x:c>
      <x:c r="E11" s="252" t="str">
        <x:v>Factores + contribuciones positivas + contribuciones negativas</x:v>
      </x:c>
      <x:c r="F11" s="252" t="str">
        <x:v>2005–2024</x:v>
      </x:c>
    </x:row>
  </x:sheetData>
  <x:mergeCells>
    <x:mergeCell ref="A1:F1"/>
    <x:mergeCell ref="A2:F2"/>
  </x:mergeCells>
  <x:pageMargins left="0.7" right="0.7" top="0.75" bottom="0.75" header="0.3" footer="0.3"/>
</x:worksheet>
</file>